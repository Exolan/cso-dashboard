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1"/>
  </bookViews>
  <sheets>
    <sheet name="ДАШБОРД" sheetId="1" state="visible" r:id="rId1"/>
    <sheet name="ППК" sheetId="2" state="visible" r:id="rId2"/>
    <sheet name="ПРОФ.ПЕРЕПОДГОТОВКА" sheetId="3" state="visible" r:id="rId3"/>
    <sheet name="МЕРОПРИЯТИЯ" sheetId="4" state="visible" r:id="rId4"/>
    <sheet name="ОЦЕНКА КОМПЕТЕНЦИЙ" sheetId="5" state="visible" r:id="rId5"/>
    <sheet name="данные для выпад списка" sheetId="6" state="visible" r:id="rId6"/>
  </sheets>
  <calcPr/>
</workbook>
</file>

<file path=xl/sharedStrings.xml><?xml version="1.0" encoding="utf-8"?>
<sst xmlns="http://schemas.openxmlformats.org/spreadsheetml/2006/main" count="69" uniqueCount="69">
  <si>
    <t xml:space="preserve">ВЫПОЛНЕНИЕ ГОС.ЗАДАНИЯ 2026 ГОД</t>
  </si>
  <si>
    <t xml:space="preserve">план (включая отклонение - 10%)</t>
  </si>
  <si>
    <t>факт</t>
  </si>
  <si>
    <t xml:space="preserve">процент выполнения</t>
  </si>
  <si>
    <t xml:space="preserve">остаток </t>
  </si>
  <si>
    <t>ППК</t>
  </si>
  <si>
    <t>Проф.переподготовка</t>
  </si>
  <si>
    <t>Мероприятия</t>
  </si>
  <si>
    <t xml:space="preserve">Оценка компетенций</t>
  </si>
  <si>
    <t xml:space="preserve">1 КВАРТАЛ (1 января - 31 марта)</t>
  </si>
  <si>
    <r>
      <t xml:space="preserve">Полное наименование программы </t>
    </r>
    <r>
      <rPr>
        <sz val="12"/>
        <color theme="1"/>
        <rFont val="Times New Roman"/>
      </rPr>
      <t xml:space="preserve">(количество акад. часов)</t>
    </r>
  </si>
  <si>
    <t xml:space="preserve">Сокр название</t>
  </si>
  <si>
    <t xml:space="preserve">№ группы</t>
  </si>
  <si>
    <t xml:space="preserve">Получатели услуг</t>
  </si>
  <si>
    <t xml:space="preserve">Количество человек</t>
  </si>
  <si>
    <t xml:space="preserve">Кол-во часов</t>
  </si>
  <si>
    <t xml:space="preserve">Итого (ч/ч)</t>
  </si>
  <si>
    <t>Комментарий</t>
  </si>
  <si>
    <t xml:space="preserve">ЭТОТ РАЗДЕЛ НЕ ТРОГАТЬ!</t>
  </si>
  <si>
    <t xml:space="preserve">Всего гз по ППК:</t>
  </si>
  <si>
    <t xml:space="preserve">ФАКТ (Сейчас):</t>
  </si>
  <si>
    <t xml:space="preserve">Процент выпонения:</t>
  </si>
  <si>
    <t>Остаток:</t>
  </si>
  <si>
    <t xml:space="preserve">Отклонение 10% за год</t>
  </si>
  <si>
    <t xml:space="preserve">ПОДИТОГ по программам
нарастающим итогом</t>
  </si>
  <si>
    <t xml:space="preserve">Название программы сокращ.</t>
  </si>
  <si>
    <t xml:space="preserve">Общее кол-во человек</t>
  </si>
  <si>
    <t xml:space="preserve">кол-во групп</t>
  </si>
  <si>
    <t xml:space="preserve">общее кол-во чел/часов</t>
  </si>
  <si>
    <t>ИТОГ</t>
  </si>
  <si>
    <t xml:space="preserve">2 КВАРТАЛ (1 апреля -  30 июня)</t>
  </si>
  <si>
    <t xml:space="preserve">3 КВАРТАЛ  (1 июля -   30 сентября)</t>
  </si>
  <si>
    <t xml:space="preserve">Итого (ч/ч))</t>
  </si>
  <si>
    <t xml:space="preserve">4  КВАРТАЛ  (1 октября  -   30  ноября)</t>
  </si>
  <si>
    <t xml:space="preserve">4  КВАРТАЛ  (1 декабря   -   31 декабря)</t>
  </si>
  <si>
    <t xml:space="preserve">Сокращ название</t>
  </si>
  <si>
    <t xml:space="preserve">Итого  (ч/ч)</t>
  </si>
  <si>
    <t xml:space="preserve">Всего гз по ПППК:</t>
  </si>
  <si>
    <t>Дата</t>
  </si>
  <si>
    <t xml:space="preserve">Полное наименование мероприятия (форма+название)</t>
  </si>
  <si>
    <t xml:space="preserve">Заказчик (если нет - пишем ЦСО)</t>
  </si>
  <si>
    <t xml:space="preserve">Целевая аудитория(получатели услуг) в соответсвии с гос. заданием </t>
  </si>
  <si>
    <t xml:space="preserve">Фактическое кол-во участников (по листу регистрации)</t>
  </si>
  <si>
    <t>Ответственный</t>
  </si>
  <si>
    <t xml:space="preserve">Итого мероприятий, шт (ставим цифру 1)</t>
  </si>
  <si>
    <t xml:space="preserve">Всего ГЗ по мероприятиям:</t>
  </si>
  <si>
    <t>Сейчас:</t>
  </si>
  <si>
    <t xml:space="preserve">Целевая аудитория в соответсвии с гос. заданием </t>
  </si>
  <si>
    <t xml:space="preserve">Наименование методики</t>
  </si>
  <si>
    <t xml:space="preserve">Для кого проводим  (ведомство)</t>
  </si>
  <si>
    <r>
      <t xml:space="preserve">Участники - Структурное подразделение (если есть) </t>
    </r>
    <r>
      <rPr>
        <b/>
        <i/>
        <sz val="12"/>
        <color theme="1"/>
        <rFont val="Times New Roman"/>
      </rPr>
      <t xml:space="preserve">отдел, управление</t>
    </r>
  </si>
  <si>
    <t xml:space="preserve">Целевая аудитория (получатели услуг)</t>
  </si>
  <si>
    <t xml:space="preserve">Фактическое кол-во участников (по листу регистрации) ЧЕЛ</t>
  </si>
  <si>
    <t xml:space="preserve">Итого мероприятий , шт (ставим цифру 1)</t>
  </si>
  <si>
    <t xml:space="preserve">ИТОГО ЗА КВАРТАЛ</t>
  </si>
  <si>
    <t xml:space="preserve">Целевая аудитория ДЛЯ МЕРОПРИЯТИЙ </t>
  </si>
  <si>
    <t xml:space="preserve">Целевая аудитория ДЛЯ ОЦЕНКИ КОМПЕТЕНЦИЙ</t>
  </si>
  <si>
    <t xml:space="preserve">лица, замещающие государственные должности Калужской области</t>
  </si>
  <si>
    <t xml:space="preserve">лица, замещающие муниципальные должности</t>
  </si>
  <si>
    <t xml:space="preserve">государственные гражданские служащие Калужской области</t>
  </si>
  <si>
    <t xml:space="preserve">муниципальные служащие муниципальных образований Калужской области</t>
  </si>
  <si>
    <t xml:space="preserve">лица, замещающие муниципальные должности, </t>
  </si>
  <si>
    <t xml:space="preserve">лица, включенные в резерв управленческих кадров</t>
  </si>
  <si>
    <t xml:space="preserve">работники органов исполнительной власти Калужской области и работники государственных учреждений и предприятий Калужской области</t>
  </si>
  <si>
    <t xml:space="preserve">лица проходящие обучение или завершившие обучение в рамках Государственного плана</t>
  </si>
  <si>
    <t xml:space="preserve">участники проекта «Герои земли Калужской»</t>
  </si>
  <si>
    <t xml:space="preserve">по заявке ОИВа</t>
  </si>
  <si>
    <t xml:space="preserve">Целевая аудитория ДЛЯ профпереподготовки</t>
  </si>
  <si>
    <t xml:space="preserve">Целевая аудитория ДЛЯ ППК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</si>
</sst>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0" formatCode="0.0"/>
  </numFmts>
  <fonts count="17">
    <font>
      <sz val="11.000000"/>
      <color theme="1"/>
      <name val="Calibri"/>
      <scheme val="minor"/>
    </font>
    <font>
      <sz val="14.000000"/>
      <color theme="1"/>
      <name val="Ubuntu Light"/>
    </font>
    <font>
      <b/>
      <sz val="12.000000"/>
      <color theme="1"/>
      <name val="Times New Roman"/>
    </font>
    <font>
      <sz val="12.000000"/>
      <color theme="1"/>
      <name val="Times New Roman"/>
    </font>
    <font>
      <sz val="14.000000"/>
      <color indexed="2"/>
      <name val="Times New Roman"/>
    </font>
    <font>
      <sz val="14.000000"/>
      <color theme="1"/>
      <name val="Times New Roman"/>
    </font>
    <font>
      <b/>
      <sz val="14.000000"/>
      <color theme="1"/>
      <name val="Times New Roman"/>
    </font>
    <font>
      <sz val="12.000000"/>
      <name val="Times New Roman"/>
    </font>
    <font>
      <b/>
      <sz val="14.000000"/>
      <name val="Times New Roman"/>
    </font>
    <font>
      <b/>
      <i/>
      <sz val="14.000000"/>
      <color indexed="2"/>
      <name val="Times New Roman"/>
    </font>
    <font>
      <b/>
      <sz val="12.000000"/>
      <name val="Times New Roman"/>
    </font>
    <font>
      <b/>
      <i/>
      <sz val="11.000000"/>
      <color indexed="2"/>
      <name val="Calibri"/>
      <scheme val="minor"/>
    </font>
    <font>
      <b/>
      <sz val="11.000000"/>
      <color theme="1"/>
      <name val="Calibri"/>
      <scheme val="minor"/>
    </font>
    <font>
      <sz val="12.000000"/>
      <color indexed="18"/>
      <name val="Times New Roman"/>
    </font>
    <font>
      <b/>
      <sz val="11.000000"/>
      <color theme="1"/>
      <name val="Times New Roman"/>
    </font>
    <font>
      <sz val="12.000000"/>
      <color indexed="2"/>
      <name val="Times New Roman"/>
    </font>
    <font>
      <sz val="11.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indexed="2"/>
        <bgColor indexed="2"/>
      </patternFill>
    </fill>
    <fill>
      <patternFill patternType="solid">
        <fgColor indexed="5"/>
        <bgColor indexed="5"/>
      </patternFill>
    </fill>
    <fill>
      <patternFill patternType="solid">
        <fgColor theme="0"/>
        <bgColor theme="0"/>
      </patternFill>
    </fill>
  </fills>
  <borders count="11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18">
    <xf fontId="0" fillId="0" borderId="0" numFmtId="0" xfId="0"/>
    <xf fontId="0" fillId="0" borderId="0" numFmtId="0" xfId="0"/>
    <xf fontId="1" fillId="2" borderId="0" numFmtId="0" xfId="0" applyFont="1" applyFill="1" applyAlignment="1">
      <alignment horizontal="center"/>
      <protection hidden="1"/>
    </xf>
    <xf fontId="1" fillId="0" borderId="0" numFmtId="0" xfId="0" applyFont="1" applyAlignment="1">
      <alignment vertical="center"/>
      <protection hidden="1"/>
    </xf>
    <xf fontId="1" fillId="0" borderId="1" numFmtId="0" xfId="0" applyFont="1" applyBorder="1" applyAlignment="1">
      <alignment horizontal="center" vertical="center" wrapText="1"/>
      <protection hidden="1"/>
    </xf>
    <xf fontId="1" fillId="0" borderId="1" numFmtId="0" xfId="0" applyFont="1" applyBorder="1" applyAlignment="1">
      <alignment horizontal="center" vertical="center"/>
      <protection hidden="1"/>
    </xf>
    <xf fontId="1" fillId="0" borderId="1" numFmtId="0" xfId="0" applyFont="1" applyBorder="1" applyAlignment="1">
      <alignment vertical="center"/>
      <protection hidden="1"/>
    </xf>
    <xf fontId="1" fillId="0" borderId="1" numFmtId="160" xfId="0" applyNumberFormat="1" applyFont="1" applyBorder="1" applyAlignment="1">
      <alignment horizontal="center" vertical="center"/>
      <protection hidden="1"/>
    </xf>
    <xf fontId="2" fillId="3" borderId="2" numFmtId="0" xfId="0" applyFont="1" applyFill="1" applyBorder="1" applyAlignment="1">
      <alignment horizontal="center" vertical="center" wrapText="1"/>
    </xf>
    <xf fontId="2" fillId="3" borderId="3" numFmtId="0" xfId="0" applyFont="1" applyFill="1" applyBorder="1" applyAlignment="1">
      <alignment horizontal="center" vertical="center" wrapText="1"/>
    </xf>
    <xf fontId="3" fillId="0" borderId="0" numFmtId="0" xfId="0" applyFont="1" applyAlignment="1">
      <alignment wrapText="1"/>
    </xf>
    <xf fontId="2" fillId="0" borderId="4" numFmtId="0" xfId="0" applyFont="1" applyBorder="1" applyAlignment="1">
      <alignment horizontal="center" vertical="center" wrapText="1"/>
    </xf>
    <xf fontId="2" fillId="0" borderId="1" numFmtId="0" xfId="0" applyFont="1" applyBorder="1" applyAlignment="1">
      <alignment horizontal="center" vertical="center" wrapText="1"/>
    </xf>
    <xf fontId="4" fillId="4" borderId="0" numFmtId="0" xfId="0" applyFont="1" applyFill="1" applyAlignment="1">
      <alignment wrapText="1"/>
      <protection hidden="1"/>
    </xf>
    <xf fontId="5" fillId="0" borderId="0" numFmtId="0" xfId="0" applyFont="1" applyAlignment="1">
      <alignment wrapText="1"/>
      <protection hidden="1"/>
    </xf>
    <xf fontId="6" fillId="4" borderId="1" numFmtId="0" xfId="0" applyFont="1" applyFill="1" applyBorder="1" applyAlignment="1">
      <alignment horizontal="left" vertical="center" wrapText="1"/>
      <protection hidden="1"/>
    </xf>
    <xf fontId="5" fillId="4" borderId="1" numFmtId="0" xfId="0" applyFont="1" applyFill="1" applyBorder="1" applyAlignment="1">
      <alignment horizontal="left" vertical="center" wrapText="1"/>
      <protection hidden="1"/>
    </xf>
    <xf fontId="6" fillId="2" borderId="1" numFmtId="0" xfId="0" applyFont="1" applyFill="1" applyBorder="1" applyAlignment="1">
      <alignment horizontal="left" vertical="center" wrapText="1"/>
      <protection hidden="1"/>
    </xf>
    <xf fontId="5" fillId="2" borderId="1" numFmtId="0" xfId="0" applyFont="1" applyFill="1" applyBorder="1" applyAlignment="1">
      <alignment horizontal="left" vertical="center" wrapText="1"/>
      <protection hidden="1"/>
    </xf>
    <xf fontId="7" fillId="4" borderId="1" numFmtId="0" xfId="0" applyFont="1" applyFill="1" applyBorder="1" applyAlignment="1">
      <alignment horizontal="center" vertical="center" wrapText="1"/>
    </xf>
    <xf fontId="3" fillId="4" borderId="1" numFmtId="0" xfId="0" applyFont="1" applyFill="1" applyBorder="1" applyAlignment="1">
      <alignment horizontal="center" vertical="center" wrapText="1"/>
    </xf>
    <xf fontId="3" fillId="0" borderId="1" numFmtId="0" xfId="0" applyFont="1" applyBorder="1" applyAlignment="1">
      <alignment horizontal="center" vertical="center" wrapText="1"/>
    </xf>
    <xf fontId="5" fillId="2" borderId="1" numFmtId="2" xfId="0" applyNumberFormat="1" applyFont="1" applyFill="1" applyBorder="1" applyAlignment="1">
      <alignment horizontal="left" vertical="center" wrapText="1"/>
      <protection hidden="1"/>
    </xf>
    <xf fontId="8" fillId="0" borderId="1" numFmtId="0" xfId="0" applyFont="1" applyBorder="1" applyAlignment="1">
      <alignment horizontal="left" vertical="center" wrapText="1"/>
      <protection hidden="1"/>
    </xf>
    <xf fontId="9" fillId="0" borderId="5" numFmtId="0" xfId="0" applyFont="1" applyBorder="1" applyAlignment="1">
      <alignment horizontal="center" vertical="center" wrapText="1"/>
    </xf>
    <xf fontId="9" fillId="0" borderId="6" numFmtId="0" xfId="0" applyFont="1" applyBorder="1" applyAlignment="1">
      <alignment horizontal="center" vertical="center" wrapText="1"/>
    </xf>
    <xf fontId="9" fillId="0" borderId="7" numFmtId="0" xfId="0" applyFont="1" applyBorder="1" applyAlignment="1">
      <alignment horizontal="center" vertical="center" wrapText="1"/>
    </xf>
    <xf fontId="9" fillId="0" borderId="2" numFmtId="0" xfId="0" applyFont="1" applyBorder="1" applyAlignment="1">
      <alignment horizontal="center" vertical="center" wrapText="1"/>
    </xf>
    <xf fontId="9" fillId="0" borderId="3" numFmtId="0" xfId="0" applyFont="1" applyBorder="1" applyAlignment="1">
      <alignment horizontal="center" vertical="center" wrapText="1"/>
    </xf>
    <xf fontId="9" fillId="0" borderId="8" numFmtId="0" xfId="0" applyFont="1" applyBorder="1" applyAlignment="1">
      <alignment horizontal="center" vertical="center" wrapText="1"/>
    </xf>
    <xf fontId="0" fillId="0" borderId="1" numFmtId="0" xfId="0" applyBorder="1" applyAlignment="1">
      <alignment horizontal="center" vertical="center"/>
    </xf>
    <xf fontId="0" fillId="0" borderId="1" numFmtId="0" xfId="0" applyBorder="1"/>
    <xf fontId="3" fillId="0" borderId="1" numFmtId="0" xfId="0" applyFont="1" applyBorder="1" applyAlignment="1">
      <alignment wrapText="1"/>
    </xf>
    <xf fontId="3" fillId="0" borderId="0" numFmtId="0" xfId="0" applyFont="1" applyAlignment="1">
      <alignment horizontal="center" vertical="center" wrapText="1"/>
    </xf>
    <xf fontId="3" fillId="0" borderId="0" numFmtId="0" xfId="0" applyFont="1" applyAlignment="1">
      <alignment vertical="center" wrapText="1"/>
    </xf>
    <xf fontId="3" fillId="0" borderId="1" numFmtId="0" xfId="0" applyFont="1" applyBorder="1" applyAlignment="1">
      <alignment vertical="center" wrapText="1"/>
    </xf>
    <xf fontId="0" fillId="0" borderId="1" numFmtId="0" xfId="0" applyBorder="1" applyAlignment="1">
      <alignment vertical="center" wrapText="1"/>
    </xf>
    <xf fontId="0" fillId="0" borderId="0" numFmtId="0" xfId="0" applyAlignment="1">
      <alignment vertical="center" wrapText="1"/>
    </xf>
    <xf fontId="3" fillId="0" borderId="1" numFmtId="0" xfId="0" applyFont="1" applyBorder="1" applyAlignment="1">
      <alignment horizontal="center" vertical="center" wrapText="1"/>
      <protection hidden="1"/>
    </xf>
    <xf fontId="0" fillId="0" borderId="1" numFmtId="0" xfId="0" applyBorder="1">
      <protection hidden="1"/>
    </xf>
    <xf fontId="3" fillId="4" borderId="1" numFmtId="0" xfId="0" applyFont="1" applyFill="1" applyBorder="1" applyAlignment="1">
      <alignment horizontal="center" vertical="center" wrapText="1"/>
      <protection hidden="1"/>
    </xf>
    <xf fontId="10" fillId="3" borderId="9" numFmtId="0" xfId="0" applyFont="1" applyFill="1" applyBorder="1" applyAlignment="1">
      <alignment horizontal="center" vertical="center" wrapText="1"/>
      <protection hidden="1"/>
    </xf>
    <xf fontId="2" fillId="3" borderId="1" numFmtId="0" xfId="0" applyFont="1" applyFill="1" applyBorder="1" applyAlignment="1">
      <alignment horizontal="center" vertical="center" wrapText="1"/>
    </xf>
    <xf fontId="3" fillId="3" borderId="1" numFmtId="0" xfId="0" applyFont="1" applyFill="1" applyBorder="1" applyAlignment="1">
      <alignment horizontal="center" vertical="center" wrapText="1"/>
      <protection hidden="1"/>
    </xf>
    <xf fontId="7" fillId="3" borderId="1" numFmtId="0" xfId="0" applyFont="1" applyFill="1" applyBorder="1" applyAlignment="1">
      <alignment horizontal="center" vertical="center" wrapText="1"/>
      <protection hidden="1"/>
    </xf>
    <xf fontId="2" fillId="3" borderId="2" numFmtId="0" xfId="0" applyFont="1" applyFill="1" applyBorder="1" applyAlignment="1">
      <alignment horizontal="center" vertical="center"/>
    </xf>
    <xf fontId="2" fillId="3" borderId="3" numFmtId="0" xfId="0" applyFont="1" applyFill="1" applyBorder="1" applyAlignment="1">
      <alignment horizontal="center" vertical="center"/>
    </xf>
    <xf fontId="2" fillId="0" borderId="4" numFmtId="0" xfId="0" applyFont="1" applyBorder="1" applyAlignment="1">
      <alignment horizontal="center" vertical="center"/>
    </xf>
    <xf fontId="2" fillId="0" borderId="1" numFmtId="0" xfId="0" applyFont="1" applyBorder="1" applyAlignment="1">
      <alignment horizontal="center" vertical="center"/>
    </xf>
    <xf fontId="4" fillId="4" borderId="3" numFmtId="0" xfId="0" applyFont="1" applyFill="1" applyBorder="1" applyAlignment="1">
      <alignment horizontal="left" wrapText="1"/>
      <protection hidden="1"/>
    </xf>
    <xf fontId="2" fillId="4" borderId="1" numFmtId="0" xfId="0" applyFont="1" applyFill="1" applyBorder="1" applyAlignment="1">
      <alignment horizontal="left" vertical="center"/>
      <protection hidden="1"/>
    </xf>
    <xf fontId="3" fillId="4" borderId="1" numFmtId="0" xfId="0" applyFont="1" applyFill="1" applyBorder="1" applyAlignment="1">
      <alignment horizontal="left" vertical="center"/>
      <protection hidden="1"/>
    </xf>
    <xf fontId="2" fillId="2" borderId="1" numFmtId="0" xfId="0" applyFont="1" applyFill="1" applyBorder="1" applyAlignment="1">
      <alignment horizontal="left" vertical="center"/>
      <protection hidden="1"/>
    </xf>
    <xf fontId="3" fillId="2" borderId="1" numFmtId="0" xfId="0" applyFont="1" applyFill="1" applyBorder="1" applyAlignment="1">
      <alignment horizontal="left" vertical="center"/>
      <protection hidden="1"/>
    </xf>
    <xf fontId="3" fillId="4" borderId="1" numFmtId="0" xfId="0" applyFont="1" applyFill="1" applyBorder="1" applyAlignment="1">
      <alignment horizontal="center" vertical="center"/>
    </xf>
    <xf fontId="7" fillId="4" borderId="1" numFmtId="0" xfId="0" applyFont="1" applyFill="1" applyBorder="1" applyAlignment="1">
      <alignment horizontal="center" vertical="center"/>
    </xf>
    <xf fontId="3" fillId="0" borderId="1" numFmtId="0" xfId="0" applyFont="1" applyBorder="1" applyAlignment="1">
      <alignment horizontal="center" vertical="center"/>
    </xf>
    <xf fontId="3" fillId="2" borderId="1" numFmtId="2" xfId="0" applyNumberFormat="1" applyFont="1" applyFill="1" applyBorder="1" applyAlignment="1">
      <alignment horizontal="left" vertical="center"/>
      <protection hidden="1"/>
    </xf>
    <xf fontId="7" fillId="0" borderId="1" numFmtId="0" xfId="0" applyFont="1" applyBorder="1" applyAlignment="1">
      <alignment horizontal="left" vertical="center"/>
      <protection hidden="1"/>
    </xf>
    <xf fontId="11" fillId="0" borderId="0" numFmtId="0" xfId="0" applyFont="1"/>
    <xf fontId="9" fillId="0" borderId="1" numFmtId="0" xfId="0" applyFont="1" applyBorder="1" applyAlignment="1">
      <alignment horizontal="center" vertical="center" wrapText="1"/>
    </xf>
    <xf fontId="0" fillId="0" borderId="0" numFmtId="0" xfId="0" applyAlignment="1">
      <alignment horizontal="center" vertical="center" wrapText="1"/>
    </xf>
    <xf fontId="3" fillId="0" borderId="1" numFmtId="0" xfId="0" applyFont="1" applyBorder="1" applyAlignment="1">
      <alignment horizontal="center" vertical="center"/>
      <protection hidden="1"/>
    </xf>
    <xf fontId="3" fillId="4" borderId="1" numFmtId="0" xfId="0" applyFont="1" applyFill="1" applyBorder="1" applyAlignment="1">
      <alignment horizontal="center" vertical="center"/>
      <protection hidden="1"/>
    </xf>
    <xf fontId="3" fillId="3" borderId="1" numFmtId="0" xfId="0" applyFont="1" applyFill="1" applyBorder="1" applyAlignment="1">
      <alignment horizontal="center" vertical="center"/>
      <protection hidden="1"/>
    </xf>
    <xf fontId="3" fillId="0" borderId="0" numFmtId="0" xfId="0" applyFont="1" applyAlignment="1">
      <alignment horizontal="center" vertical="center"/>
    </xf>
    <xf fontId="2" fillId="3" borderId="1" numFmtId="0" xfId="0" applyFont="1" applyFill="1" applyBorder="1" applyAlignment="1">
      <alignment horizontal="center" vertical="center"/>
    </xf>
    <xf fontId="12" fillId="4" borderId="0" numFmtId="0" xfId="0" applyFont="1" applyFill="1"/>
    <xf fontId="0" fillId="4" borderId="0" numFmtId="0" xfId="0" applyFill="1"/>
    <xf fontId="12" fillId="3" borderId="2" numFmtId="0" xfId="0" applyFont="1" applyFill="1" applyBorder="1" applyAlignment="1">
      <alignment horizontal="center" vertical="center"/>
    </xf>
    <xf fontId="12" fillId="3" borderId="3" numFmtId="0" xfId="0" applyFont="1" applyFill="1" applyBorder="1" applyAlignment="1">
      <alignment horizontal="center" vertical="center"/>
    </xf>
    <xf fontId="2" fillId="0" borderId="4" numFmtId="0" xfId="0" applyFont="1" applyBorder="1" applyAlignment="1">
      <alignment horizontal="left" vertical="center" wrapText="1"/>
    </xf>
    <xf fontId="2" fillId="4" borderId="4" numFmtId="0" xfId="0" applyFont="1" applyFill="1" applyBorder="1" applyAlignment="1">
      <alignment horizontal="left" vertical="center" wrapText="1"/>
    </xf>
    <xf fontId="10" fillId="0" borderId="10" numFmtId="0" xfId="0" applyFont="1" applyBorder="1" applyAlignment="1">
      <alignment horizontal="left" vertical="center" wrapText="1"/>
    </xf>
    <xf fontId="2" fillId="0" borderId="10" numFmtId="0" xfId="0" applyFont="1" applyBorder="1" applyAlignment="1">
      <alignment horizontal="left" vertical="center" wrapText="1"/>
    </xf>
    <xf fontId="2" fillId="0" borderId="1" numFmtId="0" xfId="0" applyFont="1" applyBorder="1" applyAlignment="1">
      <alignment horizontal="left" vertical="center" wrapText="1"/>
    </xf>
    <xf fontId="12" fillId="4" borderId="1" numFmtId="0" xfId="0" applyFont="1" applyFill="1" applyBorder="1" applyAlignment="1">
      <alignment horizontal="left" vertical="center"/>
      <protection hidden="1"/>
    </xf>
    <xf fontId="0" fillId="4" borderId="1" numFmtId="0" xfId="0" applyFill="1" applyBorder="1" applyAlignment="1">
      <alignment horizontal="left" vertical="center"/>
      <protection hidden="1"/>
    </xf>
    <xf fontId="12" fillId="4" borderId="0" numFmtId="0" xfId="0" applyFont="1" applyFill="1" applyAlignment="1">
      <alignment horizontal="left" vertical="center" wrapText="1"/>
    </xf>
    <xf fontId="12" fillId="4" borderId="0" numFmtId="0" xfId="0" applyFont="1" applyFill="1" applyAlignment="1">
      <alignment horizontal="left" vertical="center"/>
    </xf>
    <xf fontId="12" fillId="2" borderId="1" numFmtId="0" xfId="0" applyFont="1" applyFill="1" applyBorder="1" applyAlignment="1">
      <alignment horizontal="left" vertical="center"/>
      <protection hidden="1"/>
    </xf>
    <xf fontId="0" fillId="2" borderId="1" numFmtId="0" xfId="0" applyFill="1" applyBorder="1" applyAlignment="1">
      <alignment horizontal="left" vertical="center"/>
      <protection hidden="1"/>
    </xf>
    <xf fontId="7" fillId="4" borderId="1" numFmtId="0" xfId="0" applyFont="1" applyFill="1" applyBorder="1" applyAlignment="1">
      <alignment vertical="center" wrapText="1"/>
    </xf>
    <xf fontId="3" fillId="4" borderId="1" numFmtId="0" xfId="0" applyFont="1" applyFill="1" applyBorder="1" applyAlignment="1">
      <alignment wrapText="1"/>
    </xf>
    <xf fontId="7" fillId="4" borderId="1" numFmtId="0" xfId="0" applyFont="1" applyFill="1" applyBorder="1" applyAlignment="1">
      <alignment wrapText="1"/>
    </xf>
    <xf fontId="0" fillId="2" borderId="1" numFmtId="2" xfId="0" applyNumberFormat="1" applyFill="1" applyBorder="1" applyAlignment="1">
      <alignment horizontal="left" vertical="center"/>
      <protection hidden="1"/>
    </xf>
    <xf fontId="3" fillId="4" borderId="1" numFmtId="0" xfId="0" applyFont="1" applyFill="1" applyBorder="1" applyAlignment="1">
      <alignment vertical="center" wrapText="1"/>
    </xf>
    <xf fontId="13" fillId="0" borderId="0" numFmtId="0" xfId="0" applyFont="1"/>
    <xf fontId="3" fillId="4" borderId="1" numFmtId="0" xfId="0" applyFont="1" applyFill="1" applyBorder="1" applyAlignment="1">
      <alignment horizontal="left" vertical="center" wrapText="1"/>
    </xf>
    <xf fontId="3" fillId="4" borderId="1" numFmtId="0" xfId="0" applyFont="1" applyFill="1" applyBorder="1" applyAlignment="1">
      <alignment horizontal="right" wrapText="1"/>
    </xf>
    <xf fontId="3" fillId="3" borderId="1" numFmtId="0" xfId="0" applyFont="1" applyFill="1" applyBorder="1" applyAlignment="1">
      <alignment wrapText="1"/>
      <protection hidden="1"/>
    </xf>
    <xf fontId="3" fillId="4" borderId="1" numFmtId="0" xfId="0" applyFont="1" applyFill="1" applyBorder="1" applyAlignment="1">
      <alignment wrapText="1"/>
      <protection hidden="1"/>
    </xf>
    <xf fontId="3" fillId="0" borderId="1" numFmtId="0" xfId="0" applyFont="1" applyBorder="1" applyAlignment="1">
      <alignment wrapText="1"/>
      <protection hidden="1"/>
    </xf>
    <xf fontId="14" fillId="0" borderId="0" numFmtId="0" xfId="0" applyFont="1" applyAlignment="1">
      <alignment horizontal="center" vertical="center" wrapText="1"/>
    </xf>
    <xf fontId="2" fillId="0" borderId="4" numFmtId="0" xfId="0" applyFont="1" applyBorder="1" applyAlignment="1">
      <alignment horizontal="left" vertical="center"/>
    </xf>
    <xf fontId="2" fillId="0" borderId="1" numFmtId="0" xfId="0" applyFont="1" applyBorder="1" applyAlignment="1">
      <alignment horizontal="left" vertical="center"/>
    </xf>
    <xf fontId="15" fillId="4" borderId="3" numFmtId="0" xfId="0" applyFont="1" applyFill="1" applyBorder="1" applyAlignment="1">
      <alignment horizontal="left" wrapText="1"/>
      <protection hidden="1"/>
    </xf>
    <xf fontId="12" fillId="4" borderId="1" numFmtId="0" xfId="0" applyFont="1" applyFill="1" applyBorder="1">
      <protection hidden="1"/>
    </xf>
    <xf fontId="0" fillId="4" borderId="1" numFmtId="0" xfId="0" applyFill="1" applyBorder="1">
      <protection hidden="1"/>
    </xf>
    <xf fontId="12" fillId="2" borderId="1" numFmtId="0" xfId="0" applyFont="1" applyFill="1" applyBorder="1">
      <protection hidden="1"/>
    </xf>
    <xf fontId="0" fillId="2" borderId="1" numFmtId="0" xfId="0" applyFill="1" applyBorder="1">
      <protection hidden="1"/>
    </xf>
    <xf fontId="3" fillId="4" borderId="1" numFmtId="0" xfId="0" applyFont="1" applyFill="1" applyBorder="1"/>
    <xf fontId="7" fillId="4" borderId="1" numFmtId="0" xfId="0" applyFont="1" applyFill="1" applyBorder="1"/>
    <xf fontId="3" fillId="0" borderId="1" numFmtId="0" xfId="0" applyFont="1" applyBorder="1"/>
    <xf fontId="0" fillId="2" borderId="1" numFmtId="2" xfId="0" applyNumberFormat="1" applyFill="1" applyBorder="1">
      <protection hidden="1"/>
    </xf>
    <xf fontId="3" fillId="4" borderId="1" numFmtId="0" xfId="0" applyFont="1" applyFill="1" applyBorder="1" applyAlignment="1">
      <alignment vertical="center"/>
    </xf>
    <xf fontId="3" fillId="4" borderId="1" numFmtId="0" xfId="0" applyFont="1" applyFill="1" applyBorder="1" applyAlignment="1">
      <alignment horizontal="left" vertical="center"/>
    </xf>
    <xf fontId="3" fillId="4" borderId="1" numFmtId="0" xfId="0" applyFont="1" applyFill="1" applyBorder="1" applyAlignment="1">
      <alignment horizontal="right"/>
    </xf>
    <xf fontId="2" fillId="0" borderId="1" numFmtId="0" xfId="0" applyFont="1" applyBorder="1" applyAlignment="1">
      <alignment horizontal="center" vertical="center"/>
      <protection hidden="1"/>
    </xf>
    <xf fontId="3" fillId="3" borderId="1" numFmtId="0" xfId="0" applyFont="1" applyFill="1" applyBorder="1">
      <protection hidden="1"/>
    </xf>
    <xf fontId="3" fillId="0" borderId="1" numFmtId="0" xfId="0" applyFont="1" applyBorder="1">
      <protection hidden="1"/>
    </xf>
    <xf fontId="3" fillId="0" borderId="0" numFmtId="0" xfId="0" applyFont="1"/>
    <xf fontId="16" fillId="3" borderId="0" numFmtId="0" xfId="0" applyFont="1" applyFill="1"/>
    <xf fontId="7" fillId="0" borderId="1" numFmtId="0" xfId="0" applyFont="1" applyBorder="1" applyAlignment="1">
      <alignment horizontal="left" vertical="center" wrapText="1"/>
    </xf>
    <xf fontId="0" fillId="0" borderId="1" numFmtId="0" xfId="0" applyBorder="1" applyAlignment="1">
      <alignment horizontal="left" vertical="center"/>
    </xf>
    <xf fontId="13" fillId="0" borderId="1" numFmtId="0" xfId="0" applyFont="1" applyBorder="1"/>
    <xf fontId="7" fillId="0" borderId="1" numFmtId="0" xfId="0" applyFont="1" applyBorder="1"/>
    <xf fontId="7" fillId="0" borderId="1" numFmtId="0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9" Type="http://schemas.openxmlformats.org/officeDocument/2006/relationships/styles" Target="styles.xml"/><Relationship  Id="rId8" Type="http://schemas.openxmlformats.org/officeDocument/2006/relationships/sharedStrings" Target="sharedStrings.xml"/><Relationship  Id="rId7" Type="http://schemas.openxmlformats.org/officeDocument/2006/relationships/theme" Target="theme/theme1.xml"/><Relationship  Id="rId6" Type="http://schemas.openxmlformats.org/officeDocument/2006/relationships/worksheet" Target="worksheets/sheet6.xml"/><Relationship  Id="rId5" Type="http://schemas.openxmlformats.org/officeDocument/2006/relationships/worksheet" Target="worksheets/sheet5.xml"/><Relationship  Id="rId4" Type="http://schemas.openxmlformats.org/officeDocument/2006/relationships/worksheet" Target="worksheets/sheet4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91" workbookViewId="0">
      <selection activeCell="D3" activeCellId="0" sqref="D3"/>
    </sheetView>
  </sheetViews>
  <sheetFormatPr defaultRowHeight="14.25"/>
  <cols>
    <col bestFit="1" customWidth="1" min="1" max="1" width="28.921875"/>
    <col bestFit="1" customWidth="1" min="2" max="2" width="21.421875"/>
    <col customWidth="1" min="3" max="3" width="12.28515625"/>
    <col bestFit="1" customWidth="1" min="4" max="4" style="1" width="27.671875"/>
    <col customWidth="1" min="5" max="5" width="12.7109375"/>
  </cols>
  <sheetData>
    <row r="1" ht="17.25">
      <c r="A1" s="2" t="s">
        <v>0</v>
      </c>
      <c r="B1" s="2"/>
      <c r="C1" s="2"/>
      <c r="D1" s="2"/>
      <c r="E1" s="2"/>
    </row>
    <row r="2" ht="45.600000000000001" customHeight="1">
      <c r="A2" s="3"/>
      <c r="B2" s="4" t="s">
        <v>1</v>
      </c>
      <c r="C2" s="5" t="s">
        <v>2</v>
      </c>
      <c r="D2" s="5" t="s">
        <v>3</v>
      </c>
      <c r="E2" s="5" t="s">
        <v>4</v>
      </c>
    </row>
    <row r="3" ht="30" customHeight="1">
      <c r="A3" s="6" t="s">
        <v>5</v>
      </c>
      <c r="B3" s="7">
        <f>ППК!K4-ППК!K8</f>
        <v>52502.400000000001</v>
      </c>
      <c r="C3" s="7">
        <f>ППК!K5</f>
        <v>5000</v>
      </c>
      <c r="D3" s="7">
        <f t="shared" ref="D3:D6" si="0">C3/B3*100</f>
        <v>9.5233741695617731</v>
      </c>
      <c r="E3" s="7">
        <f t="shared" ref="E3:E6" si="1">B3-C3</f>
        <v>47502.400000000001</v>
      </c>
    </row>
    <row r="4" ht="30" customHeight="1">
      <c r="A4" s="6" t="s">
        <v>6</v>
      </c>
      <c r="B4" s="7">
        <f>'ПРОФ.ПЕРЕПОДГОТОВКА'!L4-'ПРОФ.ПЕРЕПОДГОТОВКА'!L8</f>
        <v>18192.599999999999</v>
      </c>
      <c r="C4" s="7">
        <f>'ПРОФ.ПЕРЕПОДГОТОВКА'!L5</f>
        <v>0</v>
      </c>
      <c r="D4" s="7">
        <f t="shared" si="0"/>
        <v>0</v>
      </c>
      <c r="E4" s="7">
        <f t="shared" si="1"/>
        <v>18192.599999999999</v>
      </c>
    </row>
    <row r="5" ht="30" customHeight="1">
      <c r="A5" s="6" t="s">
        <v>7</v>
      </c>
      <c r="B5" s="7">
        <f>'МЕРОПРИЯТИЯ'!L5-'МЕРОПРИЯТИЯ'!L9</f>
        <v>98.099999999999994</v>
      </c>
      <c r="C5" s="7">
        <f>'МЕРОПРИЯТИЯ'!L6</f>
        <v>0</v>
      </c>
      <c r="D5" s="7">
        <f t="shared" si="0"/>
        <v>0</v>
      </c>
      <c r="E5" s="7">
        <f t="shared" si="1"/>
        <v>98.099999999999994</v>
      </c>
    </row>
    <row r="6" ht="30" customHeight="1">
      <c r="A6" s="6" t="s">
        <v>8</v>
      </c>
      <c r="B6" s="7">
        <f>'ОЦЕНКА КОМПЕТЕНЦИЙ'!K4-'ОЦЕНКА КОМПЕТЕНЦИЙ'!K8</f>
        <v>90</v>
      </c>
      <c r="C6" s="7">
        <f>'ОЦЕНКА КОМПЕТЕНЦИЙ'!K5</f>
        <v>0</v>
      </c>
      <c r="D6" s="7">
        <f t="shared" si="0"/>
        <v>0</v>
      </c>
      <c r="E6" s="7">
        <f t="shared" si="1"/>
        <v>90</v>
      </c>
    </row>
  </sheetData>
  <mergeCells count="1">
    <mergeCell ref="A1:E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uri="{231B7EB2-2AFC-4442-B178-5FFDF5851E7C}">
      <userProtectedRanges>
        <userProtectedRange name="ДАШБОРД" sqref="A1:E6">
          <users>
            <user id="1476131511" name="ЦСО Калуга"/>
          </users>
        </userProtectedRange>
      </userProtectedRange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70" workbookViewId="0">
      <selection activeCell="F3" activeCellId="0" sqref="F3"/>
    </sheetView>
  </sheetViews>
  <sheetFormatPr defaultRowHeight="14.25"/>
  <cols>
    <col customWidth="1" min="1" max="1" width="73.7109375"/>
    <col customWidth="1" min="2" max="2" style="1" width="31"/>
    <col customWidth="1" min="3" max="3" width="17.5703125"/>
    <col customWidth="1" min="4" max="4" style="1" width="50.140625"/>
    <col customWidth="1" min="5" max="5" width="13.42578125"/>
    <col customWidth="1" min="6" max="6" width="15.28515625"/>
    <col customWidth="1" min="7" max="7" width="14.28515625"/>
    <col customWidth="1" min="8" max="8" width="74.7109375"/>
    <col customWidth="1" min="10" max="10" width="40.140625"/>
    <col customWidth="1" min="11" max="11" width="19.28515625"/>
    <col customWidth="1" min="12" max="12" width="16.42578125"/>
    <col customWidth="1" min="13" max="13" width="14.140625"/>
    <col customWidth="1" min="14" max="14" width="12.7109375"/>
  </cols>
  <sheetData>
    <row r="1" ht="25.899999999999999" customHeight="1">
      <c r="A1" s="8" t="s">
        <v>9</v>
      </c>
      <c r="B1" s="9"/>
      <c r="C1" s="9"/>
      <c r="D1" s="9"/>
      <c r="E1" s="9"/>
      <c r="F1" s="9"/>
      <c r="G1" s="9"/>
      <c r="H1" s="9"/>
      <c r="I1" s="10"/>
      <c r="J1" s="10"/>
      <c r="K1" s="10"/>
      <c r="L1" s="10"/>
    </row>
    <row r="2" ht="30">
      <c r="A2" s="11" t="s">
        <v>10</v>
      </c>
      <c r="B2" s="11" t="s">
        <v>11</v>
      </c>
      <c r="C2" s="11" t="s">
        <v>12</v>
      </c>
      <c r="D2" s="11" t="s">
        <v>13</v>
      </c>
      <c r="E2" s="11" t="s">
        <v>14</v>
      </c>
      <c r="F2" s="11" t="s">
        <v>15</v>
      </c>
      <c r="G2" s="11" t="s">
        <v>16</v>
      </c>
      <c r="H2" s="11" t="s">
        <v>17</v>
      </c>
      <c r="I2" s="10"/>
      <c r="J2" s="10"/>
      <c r="K2" s="10"/>
      <c r="L2" s="10"/>
    </row>
    <row r="3" s="1" customFormat="1" ht="30" customHeight="1">
      <c r="A3" s="12"/>
      <c r="B3" s="12"/>
      <c r="C3" s="12"/>
      <c r="D3" s="12"/>
      <c r="E3" s="12"/>
      <c r="F3" s="12"/>
      <c r="G3" s="12">
        <f t="shared" ref="G3:G36" si="2">E3*F3</f>
        <v>0</v>
      </c>
      <c r="H3" s="12"/>
      <c r="I3" s="10"/>
      <c r="J3" s="13" t="s">
        <v>18</v>
      </c>
      <c r="K3" s="14"/>
      <c r="L3" s="10"/>
    </row>
    <row r="4" s="1" customFormat="1" ht="30" customHeight="1">
      <c r="A4" s="12"/>
      <c r="B4" s="12"/>
      <c r="C4" s="12"/>
      <c r="D4" s="12"/>
      <c r="E4" s="12"/>
      <c r="F4" s="12"/>
      <c r="G4" s="12">
        <f t="shared" si="2"/>
        <v>0</v>
      </c>
      <c r="H4" s="12"/>
      <c r="I4" s="10"/>
      <c r="J4" s="15" t="s">
        <v>19</v>
      </c>
      <c r="K4" s="16">
        <v>58336</v>
      </c>
      <c r="L4" s="10"/>
    </row>
    <row r="5" s="1" customFormat="1" ht="30" customHeight="1">
      <c r="A5" s="12"/>
      <c r="B5" s="12"/>
      <c r="C5" s="12"/>
      <c r="D5" s="12"/>
      <c r="E5" s="12"/>
      <c r="F5" s="12"/>
      <c r="G5" s="12">
        <f t="shared" si="2"/>
        <v>0</v>
      </c>
      <c r="H5" s="12"/>
      <c r="I5" s="10"/>
      <c r="J5" s="17" t="s">
        <v>20</v>
      </c>
      <c r="K5" s="18">
        <f>G37+G75+G113+G151+G189</f>
        <v>5000</v>
      </c>
      <c r="L5" s="10"/>
    </row>
    <row r="6" ht="30" customHeight="1">
      <c r="A6" s="19"/>
      <c r="B6" s="19"/>
      <c r="C6" s="20"/>
      <c r="D6" s="20"/>
      <c r="E6" s="19"/>
      <c r="F6" s="19"/>
      <c r="G6" s="12">
        <f t="shared" si="2"/>
        <v>0</v>
      </c>
      <c r="H6" s="21"/>
      <c r="I6" s="10"/>
      <c r="J6" s="17" t="s">
        <v>21</v>
      </c>
      <c r="K6" s="22">
        <f>K5/K4*100</f>
        <v>8.5710367526055951</v>
      </c>
      <c r="L6" s="10"/>
    </row>
    <row r="7" ht="30" customHeight="1">
      <c r="A7" s="19"/>
      <c r="B7" s="19"/>
      <c r="C7" s="20"/>
      <c r="D7" s="20"/>
      <c r="E7" s="19"/>
      <c r="F7" s="19"/>
      <c r="G7" s="12">
        <f t="shared" si="2"/>
        <v>0</v>
      </c>
      <c r="H7" s="21"/>
      <c r="I7" s="10"/>
      <c r="J7" s="17" t="s">
        <v>22</v>
      </c>
      <c r="K7" s="18">
        <f>K4-K5</f>
        <v>53336</v>
      </c>
      <c r="L7" s="10"/>
    </row>
    <row r="8" ht="30" customHeight="1">
      <c r="A8" s="19"/>
      <c r="B8" s="19"/>
      <c r="C8" s="20"/>
      <c r="D8" s="20"/>
      <c r="E8" s="19">
        <v>1000</v>
      </c>
      <c r="F8" s="19">
        <v>5</v>
      </c>
      <c r="G8" s="12">
        <f t="shared" si="2"/>
        <v>5000</v>
      </c>
      <c r="H8" s="21"/>
      <c r="I8" s="10"/>
      <c r="J8" s="15" t="s">
        <v>23</v>
      </c>
      <c r="K8" s="23">
        <v>5833.6000000000004</v>
      </c>
      <c r="L8" s="10"/>
    </row>
    <row r="9" ht="30" customHeight="1">
      <c r="A9" s="19"/>
      <c r="B9" s="19"/>
      <c r="C9" s="20"/>
      <c r="D9" s="20"/>
      <c r="E9" s="19"/>
      <c r="F9" s="19"/>
      <c r="G9" s="12">
        <f t="shared" si="2"/>
        <v>0</v>
      </c>
      <c r="H9" s="21"/>
      <c r="I9" s="10"/>
      <c r="J9" s="10"/>
      <c r="K9" s="10"/>
      <c r="L9" s="10"/>
    </row>
    <row r="10" ht="30" customHeight="1">
      <c r="A10" s="20"/>
      <c r="B10" s="20"/>
      <c r="C10" s="20"/>
      <c r="D10" s="20"/>
      <c r="E10" s="19"/>
      <c r="F10" s="20"/>
      <c r="G10" s="12">
        <f t="shared" si="2"/>
        <v>0</v>
      </c>
      <c r="H10" s="21"/>
      <c r="I10" s="10"/>
      <c r="J10" s="10"/>
      <c r="K10" s="10"/>
      <c r="L10" s="10"/>
    </row>
    <row r="11" ht="30" customHeight="1">
      <c r="A11" s="20"/>
      <c r="B11" s="20"/>
      <c r="C11" s="20"/>
      <c r="D11" s="20"/>
      <c r="E11" s="20"/>
      <c r="F11" s="20"/>
      <c r="G11" s="12">
        <f t="shared" si="2"/>
        <v>0</v>
      </c>
      <c r="H11" s="21"/>
      <c r="I11" s="10"/>
      <c r="J11" s="24" t="s">
        <v>24</v>
      </c>
      <c r="K11" s="25"/>
      <c r="L11" s="25"/>
      <c r="M11" s="26"/>
    </row>
    <row r="12" ht="30" customHeight="1">
      <c r="A12" s="20"/>
      <c r="B12" s="20"/>
      <c r="C12" s="20"/>
      <c r="D12" s="20"/>
      <c r="E12" s="19"/>
      <c r="F12" s="20"/>
      <c r="G12" s="12">
        <f t="shared" si="2"/>
        <v>0</v>
      </c>
      <c r="H12" s="21"/>
      <c r="I12" s="10"/>
      <c r="J12" s="27"/>
      <c r="K12" s="28"/>
      <c r="L12" s="28"/>
      <c r="M12" s="29"/>
    </row>
    <row r="13" ht="30" customHeight="1">
      <c r="A13" s="20"/>
      <c r="B13" s="20"/>
      <c r="C13" s="20"/>
      <c r="D13" s="20"/>
      <c r="E13" s="19"/>
      <c r="F13" s="20"/>
      <c r="G13" s="12">
        <f t="shared" si="2"/>
        <v>0</v>
      </c>
      <c r="H13" s="21"/>
      <c r="I13" s="10"/>
      <c r="J13" s="21" t="s">
        <v>25</v>
      </c>
      <c r="K13" s="21" t="s">
        <v>26</v>
      </c>
      <c r="L13" s="21" t="s">
        <v>27</v>
      </c>
      <c r="M13" s="21" t="s">
        <v>28</v>
      </c>
    </row>
    <row r="14" ht="30" customHeight="1">
      <c r="A14" s="20"/>
      <c r="B14" s="20"/>
      <c r="C14" s="20"/>
      <c r="D14" s="20"/>
      <c r="E14" s="19"/>
      <c r="F14" s="20"/>
      <c r="G14" s="12">
        <f t="shared" si="2"/>
        <v>0</v>
      </c>
      <c r="H14" s="21"/>
      <c r="I14" s="10"/>
      <c r="J14" s="21"/>
      <c r="K14" s="21"/>
      <c r="L14" s="21"/>
      <c r="M14" s="30"/>
    </row>
    <row r="15" ht="30" customHeight="1">
      <c r="A15" s="20"/>
      <c r="B15" s="20"/>
      <c r="C15" s="20"/>
      <c r="D15" s="20"/>
      <c r="E15" s="20"/>
      <c r="F15" s="20"/>
      <c r="G15" s="12">
        <f t="shared" si="2"/>
        <v>0</v>
      </c>
      <c r="H15" s="21"/>
      <c r="I15" s="10"/>
      <c r="J15" s="21"/>
      <c r="K15" s="21"/>
      <c r="L15" s="21"/>
      <c r="M15" s="30"/>
    </row>
    <row r="16" ht="30" customHeight="1">
      <c r="A16" s="20"/>
      <c r="B16" s="20"/>
      <c r="C16" s="20"/>
      <c r="D16" s="20"/>
      <c r="E16" s="19"/>
      <c r="F16" s="20"/>
      <c r="G16" s="12">
        <f t="shared" si="2"/>
        <v>0</v>
      </c>
      <c r="H16" s="21"/>
      <c r="I16" s="10"/>
      <c r="J16" s="21"/>
      <c r="K16" s="21"/>
      <c r="L16" s="21"/>
      <c r="M16" s="30"/>
    </row>
    <row r="17" ht="30" customHeight="1">
      <c r="A17" s="20"/>
      <c r="B17" s="20"/>
      <c r="C17" s="20"/>
      <c r="D17" s="20"/>
      <c r="E17" s="19"/>
      <c r="F17" s="20"/>
      <c r="G17" s="12">
        <f t="shared" si="2"/>
        <v>0</v>
      </c>
      <c r="H17" s="21"/>
      <c r="I17" s="10"/>
      <c r="J17" s="21"/>
      <c r="K17" s="21"/>
      <c r="L17" s="21"/>
      <c r="M17" s="30"/>
    </row>
    <row r="18" ht="30" customHeight="1">
      <c r="A18" s="20"/>
      <c r="B18" s="20"/>
      <c r="C18" s="20"/>
      <c r="D18" s="20"/>
      <c r="E18" s="19"/>
      <c r="F18" s="20"/>
      <c r="G18" s="12">
        <f t="shared" si="2"/>
        <v>0</v>
      </c>
      <c r="H18" s="21"/>
      <c r="I18" s="10"/>
      <c r="J18" s="30"/>
      <c r="K18" s="21"/>
      <c r="L18" s="21"/>
      <c r="M18" s="30"/>
    </row>
    <row r="19" ht="30" customHeight="1">
      <c r="A19" s="20"/>
      <c r="B19" s="20"/>
      <c r="C19" s="20"/>
      <c r="D19" s="20"/>
      <c r="E19" s="19"/>
      <c r="F19" s="20"/>
      <c r="G19" s="12">
        <f t="shared" si="2"/>
        <v>0</v>
      </c>
      <c r="H19" s="21"/>
      <c r="I19" s="10"/>
      <c r="J19" s="30"/>
      <c r="K19" s="21"/>
      <c r="L19" s="21"/>
      <c r="M19" s="30"/>
    </row>
    <row r="20" ht="30" customHeight="1">
      <c r="A20" s="20"/>
      <c r="B20" s="20"/>
      <c r="C20" s="20"/>
      <c r="D20" s="20"/>
      <c r="E20" s="19"/>
      <c r="F20" s="20"/>
      <c r="G20" s="12">
        <f t="shared" si="2"/>
        <v>0</v>
      </c>
      <c r="H20" s="21"/>
      <c r="I20" s="10"/>
      <c r="J20" s="30"/>
      <c r="K20" s="21"/>
      <c r="L20" s="21"/>
      <c r="M20" s="30"/>
      <c r="N20" s="1"/>
      <c r="O20" s="1"/>
      <c r="P20" s="1"/>
    </row>
    <row r="21" ht="30" customHeight="1">
      <c r="A21" s="20"/>
      <c r="B21" s="20"/>
      <c r="C21" s="20"/>
      <c r="D21" s="20"/>
      <c r="E21" s="19"/>
      <c r="F21" s="20"/>
      <c r="G21" s="12">
        <f t="shared" si="2"/>
        <v>0</v>
      </c>
      <c r="H21" s="21"/>
      <c r="I21" s="10"/>
      <c r="J21" s="30"/>
      <c r="K21" s="21"/>
      <c r="L21" s="21"/>
      <c r="M21" s="30"/>
      <c r="N21" s="1"/>
      <c r="O21" s="1"/>
      <c r="P21" s="1"/>
    </row>
    <row r="22" ht="30" customHeight="1">
      <c r="A22" s="20"/>
      <c r="B22" s="20"/>
      <c r="C22" s="20"/>
      <c r="D22" s="20"/>
      <c r="E22" s="19"/>
      <c r="F22" s="20"/>
      <c r="G22" s="12">
        <f t="shared" si="2"/>
        <v>0</v>
      </c>
      <c r="H22" s="21"/>
      <c r="I22" s="10"/>
      <c r="J22" s="31"/>
      <c r="K22" s="32"/>
      <c r="L22" s="32"/>
      <c r="M22" s="31"/>
      <c r="N22" s="1"/>
      <c r="O22" s="1"/>
      <c r="P22" s="1"/>
    </row>
    <row r="23" ht="30" customHeight="1">
      <c r="A23" s="20"/>
      <c r="B23" s="20"/>
      <c r="C23" s="20"/>
      <c r="D23" s="20"/>
      <c r="E23" s="19"/>
      <c r="F23" s="20"/>
      <c r="G23" s="12">
        <f t="shared" si="2"/>
        <v>0</v>
      </c>
      <c r="H23" s="21"/>
      <c r="I23" s="33"/>
      <c r="J23" s="31"/>
      <c r="K23" s="32"/>
      <c r="L23" s="32"/>
      <c r="M23" s="31"/>
      <c r="N23" s="1"/>
      <c r="O23" s="1"/>
      <c r="P23" s="1"/>
    </row>
    <row r="24" ht="30" customHeight="1">
      <c r="A24" s="20"/>
      <c r="B24" s="20"/>
      <c r="C24" s="20"/>
      <c r="D24" s="20"/>
      <c r="E24" s="19"/>
      <c r="F24" s="20"/>
      <c r="G24" s="12">
        <f t="shared" si="2"/>
        <v>0</v>
      </c>
      <c r="H24" s="21"/>
      <c r="I24" s="33"/>
      <c r="J24" s="31"/>
      <c r="K24" s="32"/>
      <c r="L24" s="32"/>
      <c r="M24" s="31"/>
      <c r="N24" s="1"/>
      <c r="O24" s="1"/>
      <c r="P24" s="1"/>
    </row>
    <row r="25" ht="30" customHeight="1">
      <c r="A25" s="20"/>
      <c r="B25" s="20"/>
      <c r="C25" s="20"/>
      <c r="D25" s="20"/>
      <c r="E25" s="19"/>
      <c r="F25" s="20"/>
      <c r="G25" s="12">
        <f t="shared" si="2"/>
        <v>0</v>
      </c>
      <c r="H25" s="21"/>
      <c r="I25" s="34"/>
      <c r="J25" s="31"/>
      <c r="K25" s="35"/>
      <c r="L25" s="35"/>
      <c r="M25" s="36"/>
      <c r="N25" s="37"/>
      <c r="O25" s="37"/>
      <c r="P25" s="37"/>
    </row>
    <row r="26" ht="30" customHeight="1">
      <c r="A26" s="20"/>
      <c r="B26" s="20"/>
      <c r="C26" s="20"/>
      <c r="D26" s="20"/>
      <c r="E26" s="19"/>
      <c r="F26" s="20"/>
      <c r="G26" s="12">
        <f t="shared" si="2"/>
        <v>0</v>
      </c>
      <c r="H26" s="21"/>
      <c r="I26" s="34"/>
      <c r="J26" s="31"/>
      <c r="K26" s="35"/>
      <c r="L26" s="35"/>
      <c r="M26" s="36"/>
      <c r="N26" s="37"/>
      <c r="O26" s="37"/>
      <c r="P26" s="37"/>
    </row>
    <row r="27" ht="30" customHeight="1">
      <c r="A27" s="20"/>
      <c r="B27" s="20"/>
      <c r="C27" s="20"/>
      <c r="D27" s="20"/>
      <c r="E27" s="19"/>
      <c r="F27" s="20"/>
      <c r="G27" s="12">
        <f t="shared" si="2"/>
        <v>0</v>
      </c>
      <c r="H27" s="21"/>
      <c r="I27" s="34"/>
      <c r="J27" s="35"/>
      <c r="K27" s="35"/>
      <c r="L27" s="35"/>
      <c r="M27" s="36"/>
      <c r="N27" s="37"/>
      <c r="O27" s="37"/>
      <c r="P27" s="37"/>
    </row>
    <row r="28" ht="30" customHeight="1">
      <c r="A28" s="20"/>
      <c r="B28" s="20"/>
      <c r="C28" s="20"/>
      <c r="D28" s="20"/>
      <c r="E28" s="20"/>
      <c r="F28" s="20"/>
      <c r="G28" s="12">
        <f t="shared" si="2"/>
        <v>0</v>
      </c>
      <c r="H28" s="21"/>
      <c r="I28" s="34"/>
      <c r="J28" s="35"/>
      <c r="K28" s="35"/>
      <c r="L28" s="35"/>
      <c r="M28" s="36"/>
      <c r="N28" s="37"/>
      <c r="O28" s="37"/>
      <c r="P28" s="37"/>
    </row>
    <row r="29" ht="30" customHeight="1">
      <c r="A29" s="20"/>
      <c r="B29" s="20"/>
      <c r="C29" s="20"/>
      <c r="D29" s="20"/>
      <c r="E29" s="20"/>
      <c r="F29" s="20"/>
      <c r="G29" s="12">
        <f t="shared" si="2"/>
        <v>0</v>
      </c>
      <c r="H29" s="21"/>
      <c r="I29" s="10"/>
      <c r="J29" s="32"/>
      <c r="K29" s="32"/>
      <c r="L29" s="32"/>
      <c r="M29" s="31"/>
      <c r="N29" s="1"/>
      <c r="O29" s="1"/>
      <c r="P29" s="1"/>
    </row>
    <row r="30" ht="30" customHeight="1">
      <c r="A30" s="20"/>
      <c r="B30" s="20"/>
      <c r="C30" s="20"/>
      <c r="D30" s="20"/>
      <c r="E30" s="20"/>
      <c r="F30" s="20"/>
      <c r="G30" s="12">
        <f t="shared" si="2"/>
        <v>0</v>
      </c>
      <c r="H30" s="21"/>
      <c r="I30" s="10"/>
      <c r="J30" s="10"/>
      <c r="K30" s="10"/>
      <c r="L30" s="10"/>
      <c r="M30" s="1"/>
      <c r="N30" s="1"/>
      <c r="O30" s="1"/>
      <c r="P30" s="1"/>
    </row>
    <row r="31" ht="30" customHeight="1">
      <c r="A31" s="20"/>
      <c r="B31" s="20"/>
      <c r="C31" s="20"/>
      <c r="D31" s="20"/>
      <c r="E31" s="20"/>
      <c r="F31" s="20"/>
      <c r="G31" s="12">
        <f t="shared" si="2"/>
        <v>0</v>
      </c>
      <c r="H31" s="21"/>
      <c r="I31" s="34"/>
      <c r="J31" s="34"/>
      <c r="K31" s="34"/>
      <c r="L31" s="34"/>
      <c r="M31" s="37"/>
      <c r="N31" s="37"/>
      <c r="O31" s="37"/>
      <c r="P31" s="37"/>
    </row>
    <row r="32" ht="30" customHeight="1">
      <c r="A32" s="20"/>
      <c r="B32" s="20"/>
      <c r="C32" s="20"/>
      <c r="D32" s="20"/>
      <c r="E32" s="20"/>
      <c r="F32" s="20"/>
      <c r="G32" s="12">
        <f t="shared" si="2"/>
        <v>0</v>
      </c>
      <c r="H32" s="21"/>
      <c r="I32" s="34"/>
      <c r="J32" s="34"/>
      <c r="K32" s="34"/>
      <c r="L32" s="34"/>
      <c r="M32" s="37"/>
      <c r="N32" s="37"/>
      <c r="O32" s="37"/>
      <c r="P32" s="37"/>
    </row>
    <row r="33" ht="30" customHeight="1">
      <c r="A33" s="20"/>
      <c r="B33" s="20"/>
      <c r="C33" s="20"/>
      <c r="D33" s="20"/>
      <c r="E33" s="20"/>
      <c r="F33" s="20"/>
      <c r="G33" s="12">
        <f t="shared" si="2"/>
        <v>0</v>
      </c>
      <c r="H33" s="21"/>
      <c r="I33" s="34"/>
      <c r="J33" s="34"/>
      <c r="K33" s="34"/>
      <c r="L33" s="34"/>
      <c r="M33" s="37"/>
      <c r="N33" s="37"/>
      <c r="O33" s="37"/>
      <c r="P33" s="37"/>
    </row>
    <row r="34" ht="30" customHeight="1">
      <c r="A34" s="20"/>
      <c r="B34" s="20"/>
      <c r="C34" s="20"/>
      <c r="D34" s="20"/>
      <c r="E34" s="20"/>
      <c r="F34" s="20"/>
      <c r="G34" s="12">
        <f t="shared" si="2"/>
        <v>0</v>
      </c>
      <c r="H34" s="21"/>
      <c r="I34" s="34"/>
      <c r="J34" s="34"/>
      <c r="K34" s="34"/>
      <c r="L34" s="34"/>
      <c r="M34" s="37"/>
      <c r="N34" s="37"/>
      <c r="O34" s="37"/>
      <c r="P34" s="37"/>
    </row>
    <row r="35" ht="30" customHeight="1">
      <c r="A35" s="20"/>
      <c r="B35" s="20"/>
      <c r="C35" s="20"/>
      <c r="D35" s="20"/>
      <c r="E35" s="20"/>
      <c r="F35" s="20"/>
      <c r="G35" s="12">
        <f t="shared" si="2"/>
        <v>0</v>
      </c>
      <c r="H35" s="21"/>
      <c r="I35" s="34"/>
      <c r="J35" s="34"/>
      <c r="K35" s="34"/>
      <c r="L35" s="34"/>
      <c r="M35" s="37"/>
      <c r="N35" s="37"/>
      <c r="O35" s="37"/>
      <c r="P35" s="37"/>
    </row>
    <row r="36" ht="30" customHeight="1">
      <c r="A36" s="20"/>
      <c r="B36" s="20"/>
      <c r="C36" s="20"/>
      <c r="D36" s="20"/>
      <c r="E36" s="20"/>
      <c r="F36" s="20"/>
      <c r="G36" s="12">
        <f t="shared" si="2"/>
        <v>0</v>
      </c>
      <c r="H36" s="21"/>
      <c r="I36" s="34"/>
      <c r="J36" s="34"/>
      <c r="K36" s="34"/>
      <c r="L36" s="34"/>
      <c r="M36" s="37"/>
      <c r="N36" s="37"/>
      <c r="O36" s="37"/>
      <c r="P36" s="37"/>
    </row>
    <row r="37" ht="30" customHeight="1">
      <c r="A37" s="38"/>
      <c r="B37" s="38"/>
      <c r="C37" s="39"/>
      <c r="D37" s="40" t="s">
        <v>29</v>
      </c>
      <c r="E37" s="40">
        <f>SUM(E3:E36)</f>
        <v>1000</v>
      </c>
      <c r="F37" s="40">
        <f>SUM(F3:F36)</f>
        <v>5</v>
      </c>
      <c r="G37" s="41">
        <f>SUM(G3:G36)</f>
        <v>5000</v>
      </c>
      <c r="H37" s="38"/>
      <c r="I37" s="10"/>
      <c r="J37" s="10"/>
      <c r="K37" s="10"/>
      <c r="L37" s="10"/>
      <c r="M37" s="1"/>
      <c r="N37" s="1"/>
      <c r="O37" s="1"/>
      <c r="P37" s="1"/>
    </row>
    <row r="38" ht="1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ht="30" customHeight="1">
      <c r="A39" s="42" t="s">
        <v>30</v>
      </c>
      <c r="B39" s="42"/>
      <c r="C39" s="42"/>
      <c r="D39" s="42"/>
      <c r="E39" s="42"/>
      <c r="F39" s="42"/>
      <c r="G39" s="42"/>
      <c r="H39" s="42"/>
      <c r="I39" s="10"/>
      <c r="J39" s="10"/>
      <c r="K39" s="10"/>
      <c r="L39" s="10"/>
    </row>
    <row r="40" ht="30" customHeight="1">
      <c r="A40" s="11" t="s">
        <v>10</v>
      </c>
      <c r="B40" s="11" t="s">
        <v>11</v>
      </c>
      <c r="C40" s="11" t="s">
        <v>12</v>
      </c>
      <c r="D40" s="11" t="s">
        <v>13</v>
      </c>
      <c r="E40" s="11" t="s">
        <v>14</v>
      </c>
      <c r="F40" s="11" t="s">
        <v>15</v>
      </c>
      <c r="G40" s="11" t="s">
        <v>16</v>
      </c>
      <c r="H40" s="12" t="s">
        <v>17</v>
      </c>
      <c r="I40" s="10"/>
      <c r="J40" s="10"/>
      <c r="K40" s="10"/>
      <c r="L40" s="10"/>
      <c r="M40" s="1"/>
      <c r="N40" s="1"/>
      <c r="O40" s="1"/>
      <c r="P40" s="1"/>
    </row>
    <row r="41" ht="30" customHeight="1">
      <c r="A41" s="12"/>
      <c r="B41" s="12"/>
      <c r="C41" s="12"/>
      <c r="D41" s="12"/>
      <c r="E41" s="12"/>
      <c r="F41" s="12"/>
      <c r="G41" s="12">
        <f t="shared" ref="G41:G74" si="3">E41*F41</f>
        <v>0</v>
      </c>
      <c r="H41" s="12"/>
      <c r="I41" s="10"/>
      <c r="J41" s="10"/>
      <c r="K41" s="10"/>
      <c r="L41" s="10"/>
      <c r="M41" s="1"/>
      <c r="N41" s="1"/>
      <c r="O41" s="1"/>
      <c r="P41" s="1"/>
    </row>
    <row r="42" ht="30" customHeight="1">
      <c r="A42" s="12"/>
      <c r="B42" s="12"/>
      <c r="C42" s="12"/>
      <c r="D42" s="12"/>
      <c r="E42" s="12"/>
      <c r="F42" s="12"/>
      <c r="G42" s="12">
        <f t="shared" si="3"/>
        <v>0</v>
      </c>
      <c r="H42" s="12"/>
      <c r="I42" s="10"/>
      <c r="J42" s="10"/>
      <c r="K42" s="10"/>
      <c r="L42" s="10"/>
    </row>
    <row r="43" ht="30" customHeight="1">
      <c r="A43" s="12"/>
      <c r="B43" s="12"/>
      <c r="C43" s="12"/>
      <c r="D43" s="12"/>
      <c r="E43" s="12"/>
      <c r="F43" s="12"/>
      <c r="G43" s="12">
        <f t="shared" si="3"/>
        <v>0</v>
      </c>
      <c r="H43" s="12"/>
      <c r="I43" s="10"/>
      <c r="J43" s="10"/>
      <c r="K43" s="10"/>
      <c r="L43" s="10"/>
    </row>
    <row r="44" ht="30" customHeight="1">
      <c r="A44" s="19"/>
      <c r="B44" s="19"/>
      <c r="C44" s="20"/>
      <c r="D44" s="20"/>
      <c r="E44" s="19"/>
      <c r="F44" s="19"/>
      <c r="G44" s="12">
        <f t="shared" si="3"/>
        <v>0</v>
      </c>
      <c r="H44" s="21"/>
      <c r="I44" s="10"/>
      <c r="J44" s="10"/>
      <c r="K44" s="10"/>
      <c r="L44" s="10"/>
    </row>
    <row r="45" ht="30" customHeight="1">
      <c r="A45" s="19"/>
      <c r="B45" s="19"/>
      <c r="C45" s="20"/>
      <c r="D45" s="20"/>
      <c r="E45" s="19"/>
      <c r="F45" s="19"/>
      <c r="G45" s="12">
        <f t="shared" si="3"/>
        <v>0</v>
      </c>
      <c r="H45" s="21"/>
      <c r="I45" s="10"/>
      <c r="J45" s="10"/>
      <c r="K45" s="10"/>
      <c r="L45" s="10"/>
    </row>
    <row r="46" ht="30" customHeight="1">
      <c r="A46" s="19"/>
      <c r="B46" s="19"/>
      <c r="C46" s="20"/>
      <c r="D46" s="20"/>
      <c r="E46" s="19"/>
      <c r="F46" s="19"/>
      <c r="G46" s="12">
        <f t="shared" si="3"/>
        <v>0</v>
      </c>
      <c r="H46" s="21"/>
      <c r="I46" s="10"/>
      <c r="J46" s="10"/>
      <c r="K46" s="10"/>
      <c r="L46" s="10"/>
    </row>
    <row r="47" ht="30" customHeight="1">
      <c r="A47" s="19"/>
      <c r="B47" s="19"/>
      <c r="C47" s="20"/>
      <c r="D47" s="20"/>
      <c r="E47" s="19"/>
      <c r="F47" s="19"/>
      <c r="G47" s="12">
        <f t="shared" si="3"/>
        <v>0</v>
      </c>
      <c r="H47" s="21"/>
      <c r="I47" s="10"/>
      <c r="J47" s="10"/>
      <c r="K47" s="10"/>
      <c r="L47" s="10"/>
    </row>
    <row r="48" ht="30" customHeight="1">
      <c r="A48" s="20"/>
      <c r="B48" s="20"/>
      <c r="C48" s="20"/>
      <c r="D48" s="20"/>
      <c r="E48" s="19"/>
      <c r="F48" s="20"/>
      <c r="G48" s="12">
        <f t="shared" si="3"/>
        <v>0</v>
      </c>
      <c r="H48" s="21"/>
      <c r="I48" s="10"/>
      <c r="J48" s="10"/>
      <c r="K48" s="10"/>
      <c r="L48" s="10"/>
    </row>
    <row r="49" ht="30" customHeight="1">
      <c r="A49" s="20"/>
      <c r="B49" s="20"/>
      <c r="C49" s="20"/>
      <c r="D49" s="20"/>
      <c r="E49" s="20"/>
      <c r="F49" s="20"/>
      <c r="G49" s="12">
        <f t="shared" si="3"/>
        <v>0</v>
      </c>
      <c r="H49" s="21"/>
      <c r="I49" s="10"/>
      <c r="J49" s="10"/>
      <c r="K49" s="10"/>
      <c r="L49" s="10"/>
    </row>
    <row r="50" ht="30" customHeight="1">
      <c r="A50" s="20"/>
      <c r="B50" s="20"/>
      <c r="C50" s="20"/>
      <c r="D50" s="20"/>
      <c r="E50" s="19"/>
      <c r="F50" s="20"/>
      <c r="G50" s="12">
        <f t="shared" si="3"/>
        <v>0</v>
      </c>
      <c r="H50" s="21"/>
      <c r="I50" s="10"/>
      <c r="J50" s="10"/>
      <c r="K50" s="10"/>
      <c r="L50" s="10"/>
    </row>
    <row r="51" ht="30" customHeight="1">
      <c r="A51" s="20"/>
      <c r="B51" s="20"/>
      <c r="C51" s="20"/>
      <c r="D51" s="20"/>
      <c r="E51" s="19"/>
      <c r="F51" s="20"/>
      <c r="G51" s="12">
        <f t="shared" si="3"/>
        <v>0</v>
      </c>
      <c r="H51" s="21"/>
      <c r="I51" s="10"/>
      <c r="J51" s="10"/>
      <c r="K51" s="10"/>
      <c r="L51" s="10"/>
    </row>
    <row r="52" ht="30" customHeight="1">
      <c r="A52" s="20"/>
      <c r="B52" s="20"/>
      <c r="C52" s="20"/>
      <c r="D52" s="20"/>
      <c r="E52" s="19"/>
      <c r="F52" s="20"/>
      <c r="G52" s="12">
        <f t="shared" si="3"/>
        <v>0</v>
      </c>
      <c r="H52" s="21"/>
      <c r="I52" s="10"/>
      <c r="J52" s="10"/>
      <c r="K52" s="10"/>
      <c r="L52" s="10"/>
    </row>
    <row r="53" ht="30" customHeight="1">
      <c r="A53" s="20"/>
      <c r="B53" s="20"/>
      <c r="C53" s="20"/>
      <c r="D53" s="20"/>
      <c r="E53" s="20"/>
      <c r="F53" s="20"/>
      <c r="G53" s="12">
        <f t="shared" si="3"/>
        <v>0</v>
      </c>
      <c r="H53" s="21"/>
      <c r="I53" s="10"/>
      <c r="J53" s="10"/>
      <c r="K53" s="10"/>
      <c r="L53" s="10"/>
    </row>
    <row r="54" ht="30" customHeight="1">
      <c r="A54" s="20"/>
      <c r="B54" s="20"/>
      <c r="C54" s="20"/>
      <c r="D54" s="20"/>
      <c r="E54" s="19"/>
      <c r="F54" s="20"/>
      <c r="G54" s="12">
        <f t="shared" si="3"/>
        <v>0</v>
      </c>
      <c r="H54" s="21"/>
      <c r="I54" s="10"/>
      <c r="J54" s="10"/>
      <c r="K54" s="10"/>
      <c r="L54" s="10"/>
    </row>
    <row r="55" ht="30" customHeight="1">
      <c r="A55" s="20"/>
      <c r="B55" s="20"/>
      <c r="C55" s="20"/>
      <c r="D55" s="20"/>
      <c r="E55" s="19"/>
      <c r="F55" s="20"/>
      <c r="G55" s="12">
        <f t="shared" si="3"/>
        <v>0</v>
      </c>
      <c r="H55" s="21"/>
      <c r="I55" s="10"/>
      <c r="J55" s="10"/>
      <c r="K55" s="10"/>
      <c r="L55" s="10"/>
    </row>
    <row r="56" ht="30" customHeight="1">
      <c r="A56" s="20"/>
      <c r="B56" s="20"/>
      <c r="C56" s="20"/>
      <c r="D56" s="20"/>
      <c r="E56" s="19"/>
      <c r="F56" s="20"/>
      <c r="G56" s="12">
        <f t="shared" si="3"/>
        <v>0</v>
      </c>
      <c r="H56" s="21"/>
      <c r="I56" s="10"/>
      <c r="J56" s="10"/>
      <c r="K56" s="10"/>
      <c r="L56" s="10"/>
    </row>
    <row r="57" ht="30" customHeight="1">
      <c r="A57" s="20"/>
      <c r="B57" s="20"/>
      <c r="C57" s="20"/>
      <c r="D57" s="20"/>
      <c r="E57" s="19"/>
      <c r="F57" s="20"/>
      <c r="G57" s="12">
        <f t="shared" si="3"/>
        <v>0</v>
      </c>
      <c r="H57" s="21"/>
      <c r="I57" s="10"/>
      <c r="J57" s="10"/>
      <c r="K57" s="10"/>
      <c r="L57" s="10"/>
    </row>
    <row r="58" ht="30" customHeight="1">
      <c r="A58" s="20"/>
      <c r="B58" s="20"/>
      <c r="C58" s="20"/>
      <c r="D58" s="20"/>
      <c r="E58" s="19"/>
      <c r="F58" s="20"/>
      <c r="G58" s="12">
        <f t="shared" si="3"/>
        <v>0</v>
      </c>
      <c r="H58" s="21"/>
      <c r="I58" s="10"/>
      <c r="J58" s="10"/>
      <c r="K58" s="10"/>
      <c r="L58" s="10"/>
    </row>
    <row r="59" ht="30" customHeight="1">
      <c r="A59" s="20"/>
      <c r="B59" s="20"/>
      <c r="C59" s="20"/>
      <c r="D59" s="20"/>
      <c r="E59" s="19"/>
      <c r="F59" s="20"/>
      <c r="G59" s="12">
        <f t="shared" si="3"/>
        <v>0</v>
      </c>
      <c r="H59" s="21"/>
      <c r="I59" s="10"/>
      <c r="J59" s="10"/>
      <c r="K59" s="10"/>
      <c r="L59" s="10"/>
    </row>
    <row r="60" ht="30" customHeight="1">
      <c r="A60" s="20"/>
      <c r="B60" s="20"/>
      <c r="C60" s="20"/>
      <c r="D60" s="20"/>
      <c r="E60" s="19"/>
      <c r="F60" s="20"/>
      <c r="G60" s="12">
        <f t="shared" si="3"/>
        <v>0</v>
      </c>
      <c r="H60" s="21"/>
      <c r="I60" s="10"/>
      <c r="J60" s="10"/>
      <c r="K60" s="10"/>
      <c r="L60" s="10"/>
    </row>
    <row r="61" ht="30" customHeight="1">
      <c r="A61" s="20"/>
      <c r="B61" s="20"/>
      <c r="C61" s="20"/>
      <c r="D61" s="20"/>
      <c r="E61" s="19"/>
      <c r="F61" s="20"/>
      <c r="G61" s="12">
        <f t="shared" si="3"/>
        <v>0</v>
      </c>
      <c r="H61" s="21"/>
      <c r="I61" s="10"/>
      <c r="J61" s="10"/>
      <c r="K61" s="10"/>
      <c r="L61" s="10"/>
    </row>
    <row r="62" ht="30" customHeight="1">
      <c r="A62" s="20"/>
      <c r="B62" s="20"/>
      <c r="C62" s="20"/>
      <c r="D62" s="20"/>
      <c r="E62" s="19"/>
      <c r="F62" s="20"/>
      <c r="G62" s="12">
        <f t="shared" si="3"/>
        <v>0</v>
      </c>
      <c r="H62" s="21"/>
      <c r="I62" s="10"/>
      <c r="J62" s="10"/>
      <c r="K62" s="10"/>
      <c r="L62" s="10"/>
    </row>
    <row r="63" ht="30" customHeight="1">
      <c r="A63" s="20"/>
      <c r="B63" s="20"/>
      <c r="C63" s="20"/>
      <c r="D63" s="20"/>
      <c r="E63" s="19"/>
      <c r="F63" s="20"/>
      <c r="G63" s="12">
        <f t="shared" si="3"/>
        <v>0</v>
      </c>
      <c r="H63" s="21"/>
      <c r="I63" s="10"/>
      <c r="J63" s="10"/>
      <c r="K63" s="10"/>
      <c r="L63" s="10"/>
    </row>
    <row r="64" ht="30" customHeight="1">
      <c r="A64" s="20"/>
      <c r="B64" s="20"/>
      <c r="C64" s="20"/>
      <c r="D64" s="20"/>
      <c r="E64" s="19"/>
      <c r="F64" s="20"/>
      <c r="G64" s="12">
        <f t="shared" si="3"/>
        <v>0</v>
      </c>
      <c r="H64" s="21"/>
      <c r="I64" s="10"/>
      <c r="J64" s="10"/>
      <c r="K64" s="10"/>
      <c r="L64" s="10"/>
    </row>
    <row r="65" ht="30" customHeight="1">
      <c r="A65" s="20"/>
      <c r="B65" s="20"/>
      <c r="C65" s="20"/>
      <c r="D65" s="20"/>
      <c r="E65" s="19"/>
      <c r="F65" s="20"/>
      <c r="G65" s="12">
        <f t="shared" si="3"/>
        <v>0</v>
      </c>
      <c r="H65" s="21"/>
      <c r="I65" s="10"/>
      <c r="J65" s="10"/>
      <c r="K65" s="10"/>
      <c r="L65" s="10"/>
    </row>
    <row r="66" ht="30" customHeight="1">
      <c r="A66" s="20"/>
      <c r="B66" s="20"/>
      <c r="C66" s="20"/>
      <c r="D66" s="20"/>
      <c r="E66" s="20"/>
      <c r="F66" s="20"/>
      <c r="G66" s="12">
        <f t="shared" si="3"/>
        <v>0</v>
      </c>
      <c r="H66" s="21"/>
      <c r="I66" s="10"/>
      <c r="J66" s="10"/>
      <c r="K66" s="10"/>
      <c r="L66" s="10"/>
    </row>
    <row r="67" ht="30" customHeight="1">
      <c r="A67" s="20"/>
      <c r="B67" s="20"/>
      <c r="C67" s="20"/>
      <c r="D67" s="20"/>
      <c r="E67" s="20"/>
      <c r="F67" s="20"/>
      <c r="G67" s="12">
        <f t="shared" si="3"/>
        <v>0</v>
      </c>
      <c r="H67" s="21"/>
      <c r="I67" s="10"/>
      <c r="J67" s="10"/>
      <c r="K67" s="10"/>
      <c r="L67" s="10"/>
    </row>
    <row r="68" ht="30" customHeight="1">
      <c r="A68" s="20"/>
      <c r="B68" s="20"/>
      <c r="C68" s="20"/>
      <c r="D68" s="20"/>
      <c r="E68" s="20"/>
      <c r="F68" s="20"/>
      <c r="G68" s="12">
        <f t="shared" si="3"/>
        <v>0</v>
      </c>
      <c r="H68" s="21"/>
      <c r="I68" s="10"/>
      <c r="J68" s="10"/>
      <c r="K68" s="10"/>
      <c r="L68" s="10"/>
    </row>
    <row r="69" ht="30" customHeight="1">
      <c r="A69" s="20"/>
      <c r="B69" s="20"/>
      <c r="C69" s="20"/>
      <c r="D69" s="20"/>
      <c r="E69" s="20"/>
      <c r="F69" s="20"/>
      <c r="G69" s="12">
        <f t="shared" si="3"/>
        <v>0</v>
      </c>
      <c r="H69" s="21"/>
      <c r="I69" s="10"/>
      <c r="J69" s="10"/>
      <c r="K69" s="10"/>
      <c r="L69" s="10"/>
    </row>
    <row r="70" ht="30" customHeight="1">
      <c r="A70" s="20"/>
      <c r="B70" s="20"/>
      <c r="C70" s="20"/>
      <c r="D70" s="20"/>
      <c r="E70" s="20"/>
      <c r="F70" s="20"/>
      <c r="G70" s="12">
        <f t="shared" si="3"/>
        <v>0</v>
      </c>
      <c r="H70" s="21"/>
      <c r="I70" s="10"/>
      <c r="J70" s="10"/>
      <c r="K70" s="10"/>
      <c r="L70" s="10"/>
    </row>
    <row r="71" ht="30" customHeight="1">
      <c r="A71" s="20"/>
      <c r="B71" s="20"/>
      <c r="C71" s="20"/>
      <c r="D71" s="20"/>
      <c r="E71" s="20"/>
      <c r="F71" s="20"/>
      <c r="G71" s="12">
        <f t="shared" si="3"/>
        <v>0</v>
      </c>
      <c r="H71" s="21"/>
      <c r="I71" s="10"/>
      <c r="J71" s="10"/>
      <c r="K71" s="10"/>
      <c r="L71" s="10"/>
    </row>
    <row r="72" ht="30" customHeight="1">
      <c r="A72" s="20"/>
      <c r="B72" s="20"/>
      <c r="C72" s="20"/>
      <c r="D72" s="20"/>
      <c r="E72" s="20"/>
      <c r="F72" s="20"/>
      <c r="G72" s="12">
        <f t="shared" si="3"/>
        <v>0</v>
      </c>
      <c r="H72" s="21"/>
      <c r="I72" s="10"/>
      <c r="J72" s="10"/>
      <c r="K72" s="10"/>
      <c r="L72" s="10"/>
    </row>
    <row r="73" ht="30" customHeight="1">
      <c r="A73" s="20"/>
      <c r="B73" s="20"/>
      <c r="C73" s="20"/>
      <c r="D73" s="20"/>
      <c r="E73" s="20"/>
      <c r="F73" s="20"/>
      <c r="G73" s="12">
        <f t="shared" si="3"/>
        <v>0</v>
      </c>
      <c r="H73" s="21"/>
      <c r="I73" s="10"/>
      <c r="J73" s="10"/>
      <c r="K73" s="10"/>
      <c r="L73" s="10"/>
    </row>
    <row r="74" ht="30" customHeight="1">
      <c r="A74" s="20"/>
      <c r="B74" s="20"/>
      <c r="C74" s="20"/>
      <c r="D74" s="20"/>
      <c r="E74" s="20"/>
      <c r="F74" s="20"/>
      <c r="G74" s="12">
        <f t="shared" si="3"/>
        <v>0</v>
      </c>
      <c r="H74" s="21"/>
      <c r="I74" s="10"/>
      <c r="J74" s="10"/>
      <c r="K74" s="10"/>
      <c r="L74" s="10"/>
    </row>
    <row r="75" ht="30" customHeight="1">
      <c r="A75" s="38"/>
      <c r="B75" s="38"/>
      <c r="C75" s="39"/>
      <c r="D75" s="40" t="s">
        <v>29</v>
      </c>
      <c r="E75" s="40">
        <f>SUM(E41:E74)</f>
        <v>0</v>
      </c>
      <c r="F75" s="40">
        <f>SUM(F41:F74)</f>
        <v>0</v>
      </c>
      <c r="G75" s="43">
        <f>SUM(G41:G74)</f>
        <v>0</v>
      </c>
      <c r="H75" s="38"/>
      <c r="I75" s="10"/>
      <c r="J75" s="10"/>
      <c r="K75" s="10"/>
      <c r="L75" s="10"/>
    </row>
    <row r="76" ht="30" customHeight="1">
      <c r="A76" s="33"/>
      <c r="B76" s="33"/>
      <c r="C76" s="33"/>
      <c r="D76" s="33"/>
      <c r="E76" s="33"/>
      <c r="F76" s="33"/>
      <c r="G76" s="33"/>
      <c r="H76" s="33"/>
      <c r="I76" s="10"/>
      <c r="J76" s="10"/>
      <c r="K76" s="10"/>
      <c r="L76" s="10"/>
    </row>
    <row r="77" ht="30" customHeight="1">
      <c r="A77" s="42" t="s">
        <v>31</v>
      </c>
      <c r="B77" s="42"/>
      <c r="C77" s="42"/>
      <c r="D77" s="42"/>
      <c r="E77" s="42"/>
      <c r="F77" s="42"/>
      <c r="G77" s="42"/>
      <c r="H77" s="42"/>
      <c r="I77" s="10"/>
      <c r="J77" s="10"/>
      <c r="K77" s="10"/>
      <c r="L77" s="10"/>
    </row>
    <row r="78" ht="30" customHeight="1">
      <c r="A78" s="12" t="s">
        <v>10</v>
      </c>
      <c r="B78" s="12" t="s">
        <v>11</v>
      </c>
      <c r="C78" s="12" t="s">
        <v>12</v>
      </c>
      <c r="D78" s="12" t="s">
        <v>13</v>
      </c>
      <c r="E78" s="12" t="s">
        <v>14</v>
      </c>
      <c r="F78" s="12" t="s">
        <v>15</v>
      </c>
      <c r="G78" s="12" t="s">
        <v>32</v>
      </c>
      <c r="H78" s="12" t="s">
        <v>17</v>
      </c>
      <c r="I78" s="10"/>
      <c r="J78" s="10"/>
      <c r="K78" s="10"/>
      <c r="L78" s="10"/>
    </row>
    <row r="79" ht="30" customHeight="1">
      <c r="A79" s="12"/>
      <c r="B79" s="12"/>
      <c r="C79" s="12"/>
      <c r="D79" s="12"/>
      <c r="E79" s="12"/>
      <c r="F79" s="12"/>
      <c r="G79" s="12">
        <f t="shared" ref="G79:G112" si="4">E79*F79</f>
        <v>0</v>
      </c>
      <c r="H79" s="12"/>
      <c r="I79" s="10"/>
      <c r="J79" s="10"/>
      <c r="K79" s="10"/>
      <c r="L79" s="10"/>
    </row>
    <row r="80" ht="30" customHeight="1">
      <c r="A80" s="12"/>
      <c r="B80" s="12"/>
      <c r="C80" s="12"/>
      <c r="D80" s="12"/>
      <c r="E80" s="12"/>
      <c r="F80" s="12"/>
      <c r="G80" s="12">
        <f t="shared" si="4"/>
        <v>0</v>
      </c>
      <c r="H80" s="12"/>
      <c r="I80" s="10"/>
      <c r="J80" s="10"/>
      <c r="K80" s="10"/>
      <c r="L80" s="10"/>
    </row>
    <row r="81" ht="30" customHeight="1">
      <c r="A81" s="12"/>
      <c r="B81" s="12"/>
      <c r="C81" s="12"/>
      <c r="D81" s="12"/>
      <c r="E81" s="12"/>
      <c r="F81" s="12"/>
      <c r="G81" s="12">
        <f t="shared" si="4"/>
        <v>0</v>
      </c>
      <c r="H81" s="12"/>
      <c r="I81" s="10"/>
      <c r="J81" s="10"/>
      <c r="K81" s="10"/>
      <c r="L81" s="10"/>
    </row>
    <row r="82" ht="30" customHeight="1">
      <c r="A82" s="19"/>
      <c r="B82" s="19"/>
      <c r="C82" s="20"/>
      <c r="D82" s="20"/>
      <c r="E82" s="19"/>
      <c r="F82" s="19"/>
      <c r="G82" s="12">
        <f t="shared" si="4"/>
        <v>0</v>
      </c>
      <c r="H82" s="21"/>
      <c r="I82" s="10"/>
      <c r="J82" s="10"/>
      <c r="K82" s="10"/>
      <c r="L82" s="10"/>
    </row>
    <row r="83" ht="30" customHeight="1">
      <c r="A83" s="19"/>
      <c r="B83" s="19"/>
      <c r="C83" s="20"/>
      <c r="D83" s="20"/>
      <c r="E83" s="19"/>
      <c r="F83" s="19"/>
      <c r="G83" s="12">
        <f t="shared" si="4"/>
        <v>0</v>
      </c>
      <c r="H83" s="21"/>
      <c r="I83" s="10"/>
      <c r="J83" s="10"/>
      <c r="K83" s="10"/>
      <c r="L83" s="10"/>
    </row>
    <row r="84" ht="30" customHeight="1">
      <c r="A84" s="19"/>
      <c r="B84" s="19"/>
      <c r="C84" s="20"/>
      <c r="D84" s="20"/>
      <c r="E84" s="19"/>
      <c r="F84" s="19"/>
      <c r="G84" s="12">
        <f t="shared" si="4"/>
        <v>0</v>
      </c>
      <c r="H84" s="21"/>
      <c r="I84" s="10"/>
      <c r="J84" s="10"/>
      <c r="K84" s="10"/>
      <c r="L84" s="10"/>
    </row>
    <row r="85" ht="30" customHeight="1">
      <c r="A85" s="19"/>
      <c r="B85" s="19"/>
      <c r="C85" s="20"/>
      <c r="D85" s="20"/>
      <c r="E85" s="19"/>
      <c r="F85" s="19"/>
      <c r="G85" s="12">
        <f t="shared" si="4"/>
        <v>0</v>
      </c>
      <c r="H85" s="21"/>
      <c r="I85" s="10"/>
      <c r="J85" s="10"/>
      <c r="K85" s="10"/>
      <c r="L85" s="10"/>
    </row>
    <row r="86" ht="30" customHeight="1">
      <c r="A86" s="20"/>
      <c r="B86" s="20"/>
      <c r="C86" s="20"/>
      <c r="D86" s="20"/>
      <c r="E86" s="19"/>
      <c r="F86" s="20"/>
      <c r="G86" s="12">
        <f t="shared" si="4"/>
        <v>0</v>
      </c>
      <c r="H86" s="21"/>
      <c r="I86" s="10"/>
      <c r="J86" s="10"/>
      <c r="K86" s="10"/>
      <c r="L86" s="10"/>
    </row>
    <row r="87" ht="30" customHeight="1">
      <c r="A87" s="20"/>
      <c r="B87" s="20"/>
      <c r="C87" s="20"/>
      <c r="D87" s="20"/>
      <c r="E87" s="20"/>
      <c r="F87" s="20"/>
      <c r="G87" s="12">
        <f t="shared" si="4"/>
        <v>0</v>
      </c>
      <c r="H87" s="21"/>
      <c r="I87" s="10"/>
      <c r="J87" s="10"/>
      <c r="K87" s="10"/>
      <c r="L87" s="10"/>
    </row>
    <row r="88" ht="30" customHeight="1">
      <c r="A88" s="20"/>
      <c r="B88" s="20"/>
      <c r="C88" s="20"/>
      <c r="D88" s="20"/>
      <c r="E88" s="19"/>
      <c r="F88" s="20"/>
      <c r="G88" s="12">
        <f t="shared" si="4"/>
        <v>0</v>
      </c>
      <c r="H88" s="21"/>
      <c r="I88" s="10"/>
      <c r="J88" s="10"/>
      <c r="K88" s="10"/>
      <c r="L88" s="10"/>
    </row>
    <row r="89" ht="30" customHeight="1">
      <c r="A89" s="20"/>
      <c r="B89" s="20"/>
      <c r="C89" s="20"/>
      <c r="D89" s="20"/>
      <c r="E89" s="19"/>
      <c r="F89" s="20"/>
      <c r="G89" s="12">
        <f t="shared" si="4"/>
        <v>0</v>
      </c>
      <c r="H89" s="21"/>
      <c r="I89" s="10"/>
      <c r="J89" s="10"/>
      <c r="K89" s="10"/>
      <c r="L89" s="10"/>
    </row>
    <row r="90" ht="30" customHeight="1">
      <c r="A90" s="20"/>
      <c r="B90" s="20"/>
      <c r="C90" s="20"/>
      <c r="D90" s="20"/>
      <c r="E90" s="19"/>
      <c r="F90" s="20"/>
      <c r="G90" s="12">
        <f t="shared" si="4"/>
        <v>0</v>
      </c>
      <c r="H90" s="21"/>
      <c r="I90" s="10"/>
      <c r="J90" s="10"/>
      <c r="K90" s="10"/>
      <c r="L90" s="10"/>
    </row>
    <row r="91" ht="30" customHeight="1">
      <c r="A91" s="20"/>
      <c r="B91" s="20"/>
      <c r="C91" s="20"/>
      <c r="D91" s="20"/>
      <c r="E91" s="20"/>
      <c r="F91" s="20"/>
      <c r="G91" s="12">
        <f t="shared" si="4"/>
        <v>0</v>
      </c>
      <c r="H91" s="21"/>
      <c r="I91" s="10"/>
      <c r="J91" s="10"/>
      <c r="K91" s="10"/>
      <c r="L91" s="10"/>
    </row>
    <row r="92" ht="30" customHeight="1">
      <c r="A92" s="20"/>
      <c r="B92" s="20"/>
      <c r="C92" s="20"/>
      <c r="D92" s="20"/>
      <c r="E92" s="19"/>
      <c r="F92" s="20"/>
      <c r="G92" s="12">
        <f t="shared" si="4"/>
        <v>0</v>
      </c>
      <c r="H92" s="21"/>
      <c r="I92" s="10"/>
      <c r="J92" s="10"/>
      <c r="K92" s="10"/>
      <c r="L92" s="10"/>
    </row>
    <row r="93" ht="30" customHeight="1">
      <c r="A93" s="20"/>
      <c r="B93" s="20"/>
      <c r="C93" s="20"/>
      <c r="D93" s="20"/>
      <c r="E93" s="19"/>
      <c r="F93" s="20"/>
      <c r="G93" s="12">
        <f t="shared" si="4"/>
        <v>0</v>
      </c>
      <c r="H93" s="21"/>
      <c r="I93" s="10"/>
      <c r="J93" s="10"/>
      <c r="K93" s="10"/>
      <c r="L93" s="10"/>
    </row>
    <row r="94" ht="30" customHeight="1">
      <c r="A94" s="20"/>
      <c r="B94" s="20"/>
      <c r="C94" s="20"/>
      <c r="D94" s="20"/>
      <c r="E94" s="19"/>
      <c r="F94" s="20"/>
      <c r="G94" s="12">
        <f t="shared" si="4"/>
        <v>0</v>
      </c>
      <c r="H94" s="21"/>
      <c r="I94" s="10"/>
      <c r="J94" s="10"/>
      <c r="K94" s="10"/>
      <c r="L94" s="10"/>
    </row>
    <row r="95" ht="30" customHeight="1">
      <c r="A95" s="20"/>
      <c r="B95" s="20"/>
      <c r="C95" s="20"/>
      <c r="D95" s="20"/>
      <c r="E95" s="19"/>
      <c r="F95" s="20"/>
      <c r="G95" s="12">
        <f t="shared" si="4"/>
        <v>0</v>
      </c>
      <c r="H95" s="21"/>
      <c r="I95" s="10"/>
      <c r="J95" s="10"/>
      <c r="K95" s="10"/>
      <c r="L95" s="10"/>
    </row>
    <row r="96" ht="30" customHeight="1">
      <c r="A96" s="20"/>
      <c r="B96" s="20"/>
      <c r="C96" s="20"/>
      <c r="D96" s="20"/>
      <c r="E96" s="19"/>
      <c r="F96" s="20"/>
      <c r="G96" s="12">
        <f t="shared" si="4"/>
        <v>0</v>
      </c>
      <c r="H96" s="21"/>
      <c r="I96" s="10"/>
      <c r="J96" s="10"/>
      <c r="K96" s="10"/>
      <c r="L96" s="10"/>
    </row>
    <row r="97" ht="30" customHeight="1">
      <c r="A97" s="20"/>
      <c r="B97" s="20"/>
      <c r="C97" s="20"/>
      <c r="D97" s="20"/>
      <c r="E97" s="19"/>
      <c r="F97" s="20"/>
      <c r="G97" s="12">
        <f t="shared" si="4"/>
        <v>0</v>
      </c>
      <c r="H97" s="21"/>
      <c r="I97" s="10"/>
      <c r="J97" s="10"/>
      <c r="K97" s="10"/>
      <c r="L97" s="10"/>
    </row>
    <row r="98" ht="30" customHeight="1">
      <c r="A98" s="20"/>
      <c r="B98" s="20"/>
      <c r="C98" s="20"/>
      <c r="D98" s="20"/>
      <c r="E98" s="19"/>
      <c r="F98" s="20"/>
      <c r="G98" s="12">
        <f t="shared" si="4"/>
        <v>0</v>
      </c>
      <c r="H98" s="21"/>
      <c r="I98" s="10"/>
      <c r="J98" s="10"/>
      <c r="K98" s="10"/>
      <c r="L98" s="10"/>
    </row>
    <row r="99" ht="30" customHeight="1">
      <c r="A99" s="20"/>
      <c r="B99" s="20"/>
      <c r="C99" s="20"/>
      <c r="D99" s="20"/>
      <c r="E99" s="19"/>
      <c r="F99" s="20"/>
      <c r="G99" s="12">
        <f t="shared" si="4"/>
        <v>0</v>
      </c>
      <c r="H99" s="21"/>
      <c r="I99" s="10"/>
      <c r="J99" s="10"/>
      <c r="K99" s="10"/>
      <c r="L99" s="10"/>
    </row>
    <row r="100" ht="30" customHeight="1">
      <c r="A100" s="20"/>
      <c r="B100" s="20"/>
      <c r="C100" s="20"/>
      <c r="D100" s="20"/>
      <c r="E100" s="19"/>
      <c r="F100" s="20"/>
      <c r="G100" s="12">
        <f t="shared" si="4"/>
        <v>0</v>
      </c>
      <c r="H100" s="21"/>
      <c r="I100" s="10"/>
      <c r="J100" s="10"/>
      <c r="K100" s="10"/>
      <c r="L100" s="10"/>
    </row>
    <row r="101" ht="30" customHeight="1">
      <c r="A101" s="20"/>
      <c r="B101" s="20"/>
      <c r="C101" s="20"/>
      <c r="D101" s="20"/>
      <c r="E101" s="19"/>
      <c r="F101" s="20"/>
      <c r="G101" s="12">
        <f t="shared" si="4"/>
        <v>0</v>
      </c>
      <c r="H101" s="21"/>
      <c r="I101" s="10"/>
      <c r="J101" s="10"/>
      <c r="K101" s="10"/>
      <c r="L101" s="10"/>
    </row>
    <row r="102" ht="30" customHeight="1">
      <c r="A102" s="20"/>
      <c r="B102" s="20"/>
      <c r="C102" s="20"/>
      <c r="D102" s="20"/>
      <c r="E102" s="19"/>
      <c r="F102" s="20"/>
      <c r="G102" s="12">
        <f t="shared" si="4"/>
        <v>0</v>
      </c>
      <c r="H102" s="21"/>
      <c r="I102" s="10"/>
      <c r="J102" s="10"/>
      <c r="K102" s="10"/>
      <c r="L102" s="10"/>
    </row>
    <row r="103" ht="30" customHeight="1">
      <c r="A103" s="20"/>
      <c r="B103" s="20"/>
      <c r="C103" s="20"/>
      <c r="D103" s="20"/>
      <c r="E103" s="19"/>
      <c r="F103" s="20"/>
      <c r="G103" s="12">
        <f t="shared" si="4"/>
        <v>0</v>
      </c>
      <c r="H103" s="21"/>
      <c r="I103" s="10"/>
      <c r="J103" s="10"/>
      <c r="K103" s="10"/>
      <c r="L103" s="10"/>
    </row>
    <row r="104" ht="30" customHeight="1">
      <c r="A104" s="20"/>
      <c r="B104" s="20"/>
      <c r="C104" s="20"/>
      <c r="D104" s="20"/>
      <c r="E104" s="20"/>
      <c r="F104" s="20"/>
      <c r="G104" s="12">
        <f t="shared" si="4"/>
        <v>0</v>
      </c>
      <c r="H104" s="21"/>
      <c r="I104" s="10"/>
      <c r="J104" s="10"/>
      <c r="K104" s="10"/>
      <c r="L104" s="10"/>
    </row>
    <row r="105" ht="30" customHeight="1">
      <c r="A105" s="20"/>
      <c r="B105" s="20"/>
      <c r="C105" s="20"/>
      <c r="D105" s="20"/>
      <c r="E105" s="20"/>
      <c r="F105" s="20"/>
      <c r="G105" s="12">
        <f t="shared" si="4"/>
        <v>0</v>
      </c>
      <c r="H105" s="21"/>
      <c r="I105" s="10"/>
      <c r="J105" s="10"/>
      <c r="K105" s="10"/>
      <c r="L105" s="10"/>
    </row>
    <row r="106" ht="30" customHeight="1">
      <c r="A106" s="20"/>
      <c r="B106" s="20"/>
      <c r="C106" s="20"/>
      <c r="D106" s="20"/>
      <c r="E106" s="20"/>
      <c r="F106" s="20"/>
      <c r="G106" s="12">
        <f t="shared" si="4"/>
        <v>0</v>
      </c>
      <c r="H106" s="21"/>
      <c r="I106" s="10"/>
      <c r="J106" s="10"/>
      <c r="K106" s="10"/>
      <c r="L106" s="10"/>
    </row>
    <row r="107" ht="30" customHeight="1">
      <c r="A107" s="20"/>
      <c r="B107" s="20"/>
      <c r="C107" s="20"/>
      <c r="D107" s="20"/>
      <c r="E107" s="20"/>
      <c r="F107" s="20"/>
      <c r="G107" s="12">
        <f t="shared" si="4"/>
        <v>0</v>
      </c>
      <c r="H107" s="21"/>
      <c r="I107" s="10"/>
      <c r="J107" s="10"/>
      <c r="K107" s="10"/>
      <c r="L107" s="10"/>
    </row>
    <row r="108" ht="30" customHeight="1">
      <c r="A108" s="20"/>
      <c r="B108" s="20"/>
      <c r="C108" s="20"/>
      <c r="D108" s="20"/>
      <c r="E108" s="20"/>
      <c r="F108" s="20"/>
      <c r="G108" s="12">
        <f t="shared" si="4"/>
        <v>0</v>
      </c>
      <c r="H108" s="21"/>
      <c r="I108" s="10"/>
      <c r="J108" s="10"/>
      <c r="K108" s="10"/>
      <c r="L108" s="10"/>
    </row>
    <row r="109" ht="30" customHeight="1">
      <c r="A109" s="20"/>
      <c r="B109" s="20"/>
      <c r="C109" s="20"/>
      <c r="D109" s="20"/>
      <c r="E109" s="20"/>
      <c r="F109" s="20"/>
      <c r="G109" s="12">
        <f t="shared" si="4"/>
        <v>0</v>
      </c>
      <c r="H109" s="21"/>
      <c r="I109" s="10"/>
      <c r="J109" s="10"/>
      <c r="K109" s="10"/>
      <c r="L109" s="10"/>
    </row>
    <row r="110" ht="30" customHeight="1">
      <c r="A110" s="20"/>
      <c r="B110" s="20"/>
      <c r="C110" s="20"/>
      <c r="D110" s="20"/>
      <c r="E110" s="20"/>
      <c r="F110" s="20"/>
      <c r="G110" s="12">
        <f t="shared" si="4"/>
        <v>0</v>
      </c>
      <c r="H110" s="21"/>
      <c r="I110" s="10"/>
      <c r="J110" s="10"/>
      <c r="K110" s="10"/>
      <c r="L110" s="10"/>
    </row>
    <row r="111" ht="30" customHeight="1">
      <c r="A111" s="20"/>
      <c r="B111" s="20"/>
      <c r="C111" s="20"/>
      <c r="D111" s="20"/>
      <c r="E111" s="20"/>
      <c r="F111" s="20"/>
      <c r="G111" s="12">
        <f t="shared" si="4"/>
        <v>0</v>
      </c>
      <c r="H111" s="21"/>
      <c r="I111" s="10"/>
      <c r="J111" s="10"/>
      <c r="K111" s="10"/>
      <c r="L111" s="10"/>
    </row>
    <row r="112" ht="30" customHeight="1">
      <c r="A112" s="20"/>
      <c r="B112" s="20"/>
      <c r="C112" s="20"/>
      <c r="D112" s="20"/>
      <c r="E112" s="20"/>
      <c r="F112" s="20"/>
      <c r="G112" s="12">
        <f t="shared" si="4"/>
        <v>0</v>
      </c>
      <c r="H112" s="21"/>
      <c r="I112" s="10"/>
      <c r="J112" s="10"/>
      <c r="K112" s="10"/>
      <c r="L112" s="10"/>
    </row>
    <row r="113" ht="30" customHeight="1">
      <c r="A113" s="38"/>
      <c r="B113" s="38"/>
      <c r="C113" s="39"/>
      <c r="D113" s="40" t="s">
        <v>29</v>
      </c>
      <c r="E113" s="40">
        <f>SUM(E79:E112)</f>
        <v>0</v>
      </c>
      <c r="F113" s="40">
        <f>SUM(F79:F112)</f>
        <v>0</v>
      </c>
      <c r="G113" s="43">
        <f>SUM(G79:G112)</f>
        <v>0</v>
      </c>
      <c r="H113" s="38"/>
      <c r="I113" s="10"/>
      <c r="J113" s="10"/>
      <c r="K113" s="10"/>
      <c r="L113" s="10"/>
    </row>
    <row r="114" ht="30" customHeight="1">
      <c r="A114" s="33"/>
      <c r="B114" s="33"/>
      <c r="C114" s="33"/>
      <c r="D114" s="33"/>
      <c r="E114" s="33"/>
      <c r="F114" s="33"/>
      <c r="G114" s="33"/>
      <c r="H114" s="33"/>
      <c r="I114" s="10"/>
      <c r="J114" s="10"/>
      <c r="K114" s="10"/>
      <c r="L114" s="10"/>
    </row>
    <row r="115" ht="30" customHeight="1">
      <c r="A115" s="42" t="s">
        <v>33</v>
      </c>
      <c r="B115" s="42"/>
      <c r="C115" s="42"/>
      <c r="D115" s="42"/>
      <c r="E115" s="42"/>
      <c r="F115" s="42"/>
      <c r="G115" s="42"/>
      <c r="H115" s="42"/>
      <c r="I115" s="10"/>
      <c r="J115" s="10"/>
      <c r="K115" s="10"/>
      <c r="L115" s="10"/>
    </row>
    <row r="116" ht="30" customHeight="1">
      <c r="A116" s="12" t="s">
        <v>10</v>
      </c>
      <c r="B116" s="12" t="s">
        <v>11</v>
      </c>
      <c r="C116" s="12" t="s">
        <v>12</v>
      </c>
      <c r="D116" s="12" t="s">
        <v>13</v>
      </c>
      <c r="E116" s="12" t="s">
        <v>14</v>
      </c>
      <c r="F116" s="12" t="s">
        <v>15</v>
      </c>
      <c r="G116" s="12" t="s">
        <v>16</v>
      </c>
      <c r="H116" s="12" t="s">
        <v>17</v>
      </c>
      <c r="I116" s="10"/>
      <c r="J116" s="10"/>
      <c r="K116" s="10"/>
      <c r="L116" s="10"/>
    </row>
    <row r="117" ht="30" customHeight="1">
      <c r="A117" s="12"/>
      <c r="B117" s="12"/>
      <c r="C117" s="12"/>
      <c r="D117" s="12"/>
      <c r="E117" s="12"/>
      <c r="F117" s="12"/>
      <c r="G117" s="12">
        <f t="shared" ref="G117:G150" si="5">E117*F117</f>
        <v>0</v>
      </c>
      <c r="H117" s="12"/>
      <c r="I117" s="10"/>
      <c r="J117" s="10"/>
      <c r="K117" s="10"/>
      <c r="L117" s="10"/>
    </row>
    <row r="118" ht="30" customHeight="1">
      <c r="A118" s="12"/>
      <c r="B118" s="12"/>
      <c r="C118" s="12"/>
      <c r="D118" s="12"/>
      <c r="E118" s="12"/>
      <c r="F118" s="12"/>
      <c r="G118" s="12">
        <f t="shared" si="5"/>
        <v>0</v>
      </c>
      <c r="H118" s="12"/>
      <c r="I118" s="10"/>
      <c r="J118" s="10"/>
      <c r="K118" s="10"/>
      <c r="L118" s="10"/>
    </row>
    <row r="119" ht="30" customHeight="1">
      <c r="A119" s="12"/>
      <c r="B119" s="12"/>
      <c r="C119" s="12"/>
      <c r="D119" s="12"/>
      <c r="E119" s="12"/>
      <c r="F119" s="12"/>
      <c r="G119" s="12">
        <f t="shared" si="5"/>
        <v>0</v>
      </c>
      <c r="H119" s="12"/>
      <c r="I119" s="10"/>
      <c r="J119" s="10"/>
      <c r="K119" s="10"/>
      <c r="L119" s="10"/>
    </row>
    <row r="120" ht="30" customHeight="1">
      <c r="A120" s="19"/>
      <c r="B120" s="19"/>
      <c r="C120" s="20"/>
      <c r="D120" s="20"/>
      <c r="E120" s="19"/>
      <c r="F120" s="19"/>
      <c r="G120" s="12">
        <f t="shared" si="5"/>
        <v>0</v>
      </c>
      <c r="H120" s="21"/>
      <c r="I120" s="10"/>
      <c r="J120" s="10"/>
      <c r="K120" s="10"/>
      <c r="L120" s="10"/>
    </row>
    <row r="121" ht="30" customHeight="1">
      <c r="A121" s="19"/>
      <c r="B121" s="19"/>
      <c r="C121" s="20"/>
      <c r="D121" s="20"/>
      <c r="E121" s="19"/>
      <c r="F121" s="19"/>
      <c r="G121" s="12">
        <f t="shared" si="5"/>
        <v>0</v>
      </c>
      <c r="H121" s="21"/>
      <c r="I121" s="10"/>
      <c r="J121" s="10"/>
      <c r="K121" s="10"/>
      <c r="L121" s="10"/>
    </row>
    <row r="122" ht="30" customHeight="1">
      <c r="A122" s="19"/>
      <c r="B122" s="19"/>
      <c r="C122" s="20"/>
      <c r="D122" s="20"/>
      <c r="E122" s="19"/>
      <c r="F122" s="19"/>
      <c r="G122" s="12">
        <f t="shared" si="5"/>
        <v>0</v>
      </c>
      <c r="H122" s="21"/>
      <c r="I122" s="10"/>
      <c r="J122" s="10"/>
      <c r="K122" s="10"/>
      <c r="L122" s="10"/>
    </row>
    <row r="123" ht="30" customHeight="1">
      <c r="A123" s="19"/>
      <c r="B123" s="19"/>
      <c r="C123" s="20"/>
      <c r="D123" s="20"/>
      <c r="E123" s="19"/>
      <c r="F123" s="19"/>
      <c r="G123" s="12">
        <f t="shared" si="5"/>
        <v>0</v>
      </c>
      <c r="H123" s="21"/>
      <c r="I123" s="10"/>
      <c r="J123" s="10"/>
      <c r="K123" s="10"/>
      <c r="L123" s="10"/>
    </row>
    <row r="124" ht="30" customHeight="1">
      <c r="A124" s="20"/>
      <c r="B124" s="20"/>
      <c r="C124" s="20"/>
      <c r="D124" s="20"/>
      <c r="E124" s="19"/>
      <c r="F124" s="20"/>
      <c r="G124" s="12">
        <f t="shared" si="5"/>
        <v>0</v>
      </c>
      <c r="H124" s="21"/>
      <c r="I124" s="10"/>
      <c r="J124" s="10"/>
      <c r="K124" s="10"/>
      <c r="L124" s="10"/>
    </row>
    <row r="125" ht="30" customHeight="1">
      <c r="A125" s="20"/>
      <c r="B125" s="20"/>
      <c r="C125" s="20"/>
      <c r="D125" s="20"/>
      <c r="E125" s="20"/>
      <c r="F125" s="20"/>
      <c r="G125" s="12">
        <f t="shared" si="5"/>
        <v>0</v>
      </c>
      <c r="H125" s="21"/>
      <c r="I125" s="10"/>
      <c r="J125" s="10"/>
      <c r="K125" s="10"/>
      <c r="L125" s="10"/>
    </row>
    <row r="126" ht="30" customHeight="1">
      <c r="A126" s="20"/>
      <c r="B126" s="20"/>
      <c r="C126" s="20"/>
      <c r="D126" s="20"/>
      <c r="E126" s="19"/>
      <c r="F126" s="20"/>
      <c r="G126" s="12">
        <f t="shared" si="5"/>
        <v>0</v>
      </c>
      <c r="H126" s="21"/>
      <c r="I126" s="10"/>
      <c r="J126" s="10"/>
      <c r="K126" s="10"/>
      <c r="L126" s="10"/>
    </row>
    <row r="127" ht="30" customHeight="1">
      <c r="A127" s="20"/>
      <c r="B127" s="20"/>
      <c r="C127" s="20"/>
      <c r="D127" s="20"/>
      <c r="E127" s="19"/>
      <c r="F127" s="20"/>
      <c r="G127" s="12">
        <f t="shared" si="5"/>
        <v>0</v>
      </c>
      <c r="H127" s="21"/>
      <c r="I127" s="10"/>
      <c r="J127" s="10"/>
      <c r="K127" s="10"/>
      <c r="L127" s="10"/>
    </row>
    <row r="128" ht="30" customHeight="1">
      <c r="A128" s="20"/>
      <c r="B128" s="20"/>
      <c r="C128" s="20"/>
      <c r="D128" s="20"/>
      <c r="E128" s="19"/>
      <c r="F128" s="20"/>
      <c r="G128" s="12">
        <f t="shared" si="5"/>
        <v>0</v>
      </c>
      <c r="H128" s="21"/>
      <c r="I128" s="10"/>
      <c r="J128" s="10"/>
      <c r="K128" s="10"/>
      <c r="L128" s="10"/>
    </row>
    <row r="129" ht="30" customHeight="1">
      <c r="A129" s="20"/>
      <c r="B129" s="20"/>
      <c r="C129" s="20"/>
      <c r="D129" s="20"/>
      <c r="E129" s="20"/>
      <c r="F129" s="20"/>
      <c r="G129" s="12">
        <f t="shared" si="5"/>
        <v>0</v>
      </c>
      <c r="H129" s="21"/>
      <c r="I129" s="10"/>
      <c r="J129" s="10"/>
      <c r="K129" s="10"/>
      <c r="L129" s="10"/>
    </row>
    <row r="130" ht="30" customHeight="1">
      <c r="A130" s="20"/>
      <c r="B130" s="20"/>
      <c r="C130" s="20"/>
      <c r="D130" s="20"/>
      <c r="E130" s="19"/>
      <c r="F130" s="20"/>
      <c r="G130" s="12">
        <f t="shared" si="5"/>
        <v>0</v>
      </c>
      <c r="H130" s="21"/>
      <c r="I130" s="10"/>
      <c r="J130" s="10"/>
      <c r="K130" s="10"/>
      <c r="L130" s="10"/>
    </row>
    <row r="131" ht="30" customHeight="1">
      <c r="A131" s="20"/>
      <c r="B131" s="20"/>
      <c r="C131" s="20"/>
      <c r="D131" s="20"/>
      <c r="E131" s="19"/>
      <c r="F131" s="20"/>
      <c r="G131" s="12">
        <f t="shared" si="5"/>
        <v>0</v>
      </c>
      <c r="H131" s="21"/>
      <c r="I131" s="10"/>
      <c r="J131" s="10"/>
      <c r="K131" s="10"/>
      <c r="L131" s="10"/>
    </row>
    <row r="132" ht="30" customHeight="1">
      <c r="A132" s="20"/>
      <c r="B132" s="20"/>
      <c r="C132" s="20"/>
      <c r="D132" s="20"/>
      <c r="E132" s="19"/>
      <c r="F132" s="20"/>
      <c r="G132" s="12">
        <f t="shared" si="5"/>
        <v>0</v>
      </c>
      <c r="H132" s="21"/>
      <c r="I132" s="10"/>
      <c r="J132" s="10"/>
      <c r="K132" s="10"/>
      <c r="L132" s="10"/>
    </row>
    <row r="133" ht="30" customHeight="1">
      <c r="A133" s="20"/>
      <c r="B133" s="20"/>
      <c r="C133" s="20"/>
      <c r="D133" s="20"/>
      <c r="E133" s="19"/>
      <c r="F133" s="20"/>
      <c r="G133" s="12">
        <f t="shared" si="5"/>
        <v>0</v>
      </c>
      <c r="H133" s="21"/>
      <c r="I133" s="10"/>
      <c r="J133" s="10"/>
      <c r="K133" s="10"/>
      <c r="L133" s="10"/>
    </row>
    <row r="134" ht="30" customHeight="1">
      <c r="A134" s="20"/>
      <c r="B134" s="20"/>
      <c r="C134" s="20"/>
      <c r="D134" s="20"/>
      <c r="E134" s="19"/>
      <c r="F134" s="20"/>
      <c r="G134" s="12">
        <f t="shared" si="5"/>
        <v>0</v>
      </c>
      <c r="H134" s="21"/>
      <c r="I134" s="10"/>
      <c r="J134" s="10"/>
      <c r="K134" s="10"/>
      <c r="L134" s="10"/>
    </row>
    <row r="135" ht="30" customHeight="1">
      <c r="A135" s="20"/>
      <c r="B135" s="20"/>
      <c r="C135" s="20"/>
      <c r="D135" s="20"/>
      <c r="E135" s="19"/>
      <c r="F135" s="20"/>
      <c r="G135" s="12">
        <f t="shared" si="5"/>
        <v>0</v>
      </c>
      <c r="H135" s="21"/>
      <c r="I135" s="10"/>
      <c r="J135" s="10"/>
      <c r="K135" s="10"/>
      <c r="L135" s="10"/>
    </row>
    <row r="136" ht="30" customHeight="1">
      <c r="A136" s="20"/>
      <c r="B136" s="20"/>
      <c r="C136" s="20"/>
      <c r="D136" s="20"/>
      <c r="E136" s="19"/>
      <c r="F136" s="20"/>
      <c r="G136" s="12">
        <f t="shared" si="5"/>
        <v>0</v>
      </c>
      <c r="H136" s="21"/>
      <c r="I136" s="10"/>
      <c r="J136" s="10"/>
      <c r="K136" s="10"/>
      <c r="L136" s="10"/>
    </row>
    <row r="137" ht="30" customHeight="1">
      <c r="A137" s="20"/>
      <c r="B137" s="20"/>
      <c r="C137" s="20"/>
      <c r="D137" s="20"/>
      <c r="E137" s="19"/>
      <c r="F137" s="20"/>
      <c r="G137" s="12">
        <f t="shared" si="5"/>
        <v>0</v>
      </c>
      <c r="H137" s="21"/>
      <c r="I137" s="10"/>
      <c r="J137" s="10"/>
      <c r="K137" s="10"/>
      <c r="L137" s="10"/>
    </row>
    <row r="138" ht="30" customHeight="1">
      <c r="A138" s="20"/>
      <c r="B138" s="20"/>
      <c r="C138" s="20"/>
      <c r="D138" s="20"/>
      <c r="E138" s="19"/>
      <c r="F138" s="20"/>
      <c r="G138" s="12">
        <f t="shared" si="5"/>
        <v>0</v>
      </c>
      <c r="H138" s="21"/>
      <c r="I138" s="10"/>
      <c r="J138" s="10"/>
      <c r="K138" s="10"/>
      <c r="L138" s="10"/>
    </row>
    <row r="139" ht="30" customHeight="1">
      <c r="A139" s="20"/>
      <c r="B139" s="20"/>
      <c r="C139" s="20"/>
      <c r="D139" s="20"/>
      <c r="E139" s="19"/>
      <c r="F139" s="20"/>
      <c r="G139" s="12">
        <f t="shared" si="5"/>
        <v>0</v>
      </c>
      <c r="H139" s="21"/>
      <c r="I139" s="10"/>
      <c r="J139" s="10"/>
      <c r="K139" s="10"/>
      <c r="L139" s="10"/>
    </row>
    <row r="140" ht="30" customHeight="1">
      <c r="A140" s="20"/>
      <c r="B140" s="20"/>
      <c r="C140" s="20"/>
      <c r="D140" s="20"/>
      <c r="E140" s="19"/>
      <c r="F140" s="20"/>
      <c r="G140" s="12">
        <f t="shared" si="5"/>
        <v>0</v>
      </c>
      <c r="H140" s="21"/>
      <c r="I140" s="10"/>
      <c r="J140" s="10"/>
      <c r="K140" s="10"/>
      <c r="L140" s="10"/>
    </row>
    <row r="141" ht="30" customHeight="1">
      <c r="A141" s="20"/>
      <c r="B141" s="20"/>
      <c r="C141" s="20"/>
      <c r="D141" s="20"/>
      <c r="E141" s="19"/>
      <c r="F141" s="20"/>
      <c r="G141" s="12">
        <f t="shared" si="5"/>
        <v>0</v>
      </c>
      <c r="H141" s="21"/>
      <c r="I141" s="10"/>
      <c r="J141" s="10"/>
      <c r="K141" s="10"/>
      <c r="L141" s="10"/>
    </row>
    <row r="142" ht="30" customHeight="1">
      <c r="A142" s="20"/>
      <c r="B142" s="20"/>
      <c r="C142" s="20"/>
      <c r="D142" s="20"/>
      <c r="E142" s="20"/>
      <c r="F142" s="20"/>
      <c r="G142" s="12">
        <f t="shared" si="5"/>
        <v>0</v>
      </c>
      <c r="H142" s="21"/>
      <c r="I142" s="10"/>
      <c r="J142" s="10"/>
      <c r="K142" s="10"/>
      <c r="L142" s="10"/>
    </row>
    <row r="143" ht="30" customHeight="1">
      <c r="A143" s="20"/>
      <c r="B143" s="20"/>
      <c r="C143" s="20"/>
      <c r="D143" s="20"/>
      <c r="E143" s="20"/>
      <c r="F143" s="20"/>
      <c r="G143" s="12">
        <f t="shared" si="5"/>
        <v>0</v>
      </c>
      <c r="H143" s="21"/>
      <c r="I143" s="10"/>
      <c r="J143" s="10"/>
      <c r="K143" s="10"/>
      <c r="L143" s="10"/>
    </row>
    <row r="144" ht="30" customHeight="1">
      <c r="A144" s="20"/>
      <c r="B144" s="20"/>
      <c r="C144" s="20"/>
      <c r="D144" s="20"/>
      <c r="E144" s="20"/>
      <c r="F144" s="20"/>
      <c r="G144" s="12">
        <f t="shared" si="5"/>
        <v>0</v>
      </c>
      <c r="H144" s="21"/>
      <c r="I144" s="10"/>
      <c r="J144" s="10"/>
      <c r="K144" s="10"/>
      <c r="L144" s="10"/>
    </row>
    <row r="145" ht="30" customHeight="1">
      <c r="A145" s="20"/>
      <c r="B145" s="20"/>
      <c r="C145" s="20"/>
      <c r="D145" s="20"/>
      <c r="E145" s="20"/>
      <c r="F145" s="20"/>
      <c r="G145" s="12">
        <f t="shared" si="5"/>
        <v>0</v>
      </c>
      <c r="H145" s="21"/>
      <c r="I145" s="10"/>
      <c r="J145" s="10"/>
      <c r="K145" s="10"/>
      <c r="L145" s="10"/>
    </row>
    <row r="146" ht="30" customHeight="1">
      <c r="A146" s="20"/>
      <c r="B146" s="20"/>
      <c r="C146" s="20"/>
      <c r="D146" s="20"/>
      <c r="E146" s="20"/>
      <c r="F146" s="20"/>
      <c r="G146" s="12">
        <f t="shared" si="5"/>
        <v>0</v>
      </c>
      <c r="H146" s="21"/>
      <c r="I146" s="10"/>
      <c r="J146" s="10"/>
      <c r="K146" s="10"/>
      <c r="L146" s="10"/>
    </row>
    <row r="147" ht="30" customHeight="1">
      <c r="A147" s="20"/>
      <c r="B147" s="20"/>
      <c r="C147" s="20"/>
      <c r="D147" s="20"/>
      <c r="E147" s="20"/>
      <c r="F147" s="20"/>
      <c r="G147" s="12">
        <f t="shared" si="5"/>
        <v>0</v>
      </c>
      <c r="H147" s="21"/>
      <c r="I147" s="10"/>
      <c r="J147" s="10"/>
      <c r="K147" s="10"/>
      <c r="L147" s="10"/>
    </row>
    <row r="148" ht="30" customHeight="1">
      <c r="A148" s="20"/>
      <c r="B148" s="20"/>
      <c r="C148" s="20"/>
      <c r="D148" s="20"/>
      <c r="E148" s="20"/>
      <c r="F148" s="20"/>
      <c r="G148" s="12">
        <f t="shared" si="5"/>
        <v>0</v>
      </c>
      <c r="H148" s="21"/>
      <c r="I148" s="10"/>
      <c r="J148" s="10"/>
      <c r="K148" s="10"/>
      <c r="L148" s="10"/>
    </row>
    <row r="149" ht="30" customHeight="1">
      <c r="A149" s="20"/>
      <c r="B149" s="20"/>
      <c r="C149" s="20"/>
      <c r="D149" s="20"/>
      <c r="E149" s="20"/>
      <c r="F149" s="20"/>
      <c r="G149" s="12">
        <f t="shared" si="5"/>
        <v>0</v>
      </c>
      <c r="H149" s="21"/>
      <c r="I149" s="10"/>
      <c r="J149" s="10"/>
      <c r="K149" s="10"/>
      <c r="L149" s="10"/>
    </row>
    <row r="150" ht="30" customHeight="1">
      <c r="A150" s="20"/>
      <c r="B150" s="20"/>
      <c r="C150" s="20"/>
      <c r="D150" s="20"/>
      <c r="E150" s="20"/>
      <c r="F150" s="20"/>
      <c r="G150" s="12">
        <f t="shared" si="5"/>
        <v>0</v>
      </c>
      <c r="H150" s="21"/>
      <c r="I150" s="10"/>
      <c r="J150" s="10"/>
      <c r="K150" s="10"/>
      <c r="L150" s="10"/>
    </row>
    <row r="151" ht="30" customHeight="1">
      <c r="A151" s="38"/>
      <c r="B151" s="38"/>
      <c r="C151" s="39"/>
      <c r="D151" s="40" t="s">
        <v>29</v>
      </c>
      <c r="E151" s="40">
        <f>SUM(E117:E150)</f>
        <v>0</v>
      </c>
      <c r="F151" s="40">
        <f>SUM(F117:F150)</f>
        <v>0</v>
      </c>
      <c r="G151" s="43">
        <f>SUM(G117:G150)</f>
        <v>0</v>
      </c>
      <c r="H151" s="38"/>
      <c r="I151" s="10"/>
      <c r="J151" s="10"/>
      <c r="K151" s="10"/>
      <c r="L151" s="10"/>
    </row>
    <row r="152" ht="30" customHeight="1">
      <c r="A152" s="33"/>
      <c r="B152" s="33"/>
      <c r="C152" s="33"/>
      <c r="D152" s="33"/>
      <c r="E152" s="33"/>
      <c r="F152" s="33"/>
      <c r="G152" s="33"/>
      <c r="H152" s="33"/>
      <c r="I152" s="10"/>
      <c r="J152" s="10"/>
      <c r="K152" s="10"/>
      <c r="L152" s="10"/>
    </row>
    <row r="153" ht="30" customHeight="1">
      <c r="A153" s="42" t="s">
        <v>34</v>
      </c>
      <c r="B153" s="42"/>
      <c r="C153" s="42"/>
      <c r="D153" s="42"/>
      <c r="E153" s="42"/>
      <c r="F153" s="42"/>
      <c r="G153" s="42"/>
      <c r="H153" s="42"/>
      <c r="I153" s="10"/>
      <c r="J153" s="10"/>
      <c r="K153" s="10"/>
      <c r="L153" s="10"/>
    </row>
    <row r="154" ht="30" customHeight="1">
      <c r="A154" s="12" t="s">
        <v>10</v>
      </c>
      <c r="B154" s="12" t="s">
        <v>11</v>
      </c>
      <c r="C154" s="12" t="s">
        <v>12</v>
      </c>
      <c r="D154" s="12" t="s">
        <v>13</v>
      </c>
      <c r="E154" s="12" t="s">
        <v>14</v>
      </c>
      <c r="F154" s="12" t="s">
        <v>15</v>
      </c>
      <c r="G154" s="12" t="s">
        <v>16</v>
      </c>
      <c r="H154" s="12" t="s">
        <v>17</v>
      </c>
      <c r="I154" s="10"/>
      <c r="J154" s="10"/>
      <c r="K154" s="10"/>
      <c r="L154" s="10"/>
    </row>
    <row r="155" ht="30" customHeight="1">
      <c r="A155" s="12"/>
      <c r="B155" s="12"/>
      <c r="C155" s="12"/>
      <c r="D155" s="12"/>
      <c r="E155" s="12"/>
      <c r="F155" s="12"/>
      <c r="G155" s="12">
        <f t="shared" ref="G155:G188" si="6">E155*F155</f>
        <v>0</v>
      </c>
      <c r="H155" s="12"/>
      <c r="I155" s="10"/>
      <c r="J155" s="10"/>
      <c r="K155" s="10"/>
      <c r="L155" s="10"/>
    </row>
    <row r="156" ht="30" customHeight="1">
      <c r="A156" s="12"/>
      <c r="B156" s="12"/>
      <c r="C156" s="12"/>
      <c r="D156" s="12"/>
      <c r="E156" s="12"/>
      <c r="F156" s="12"/>
      <c r="G156" s="12">
        <f t="shared" si="6"/>
        <v>0</v>
      </c>
      <c r="H156" s="12"/>
      <c r="I156" s="10"/>
      <c r="J156" s="10"/>
      <c r="K156" s="10"/>
      <c r="L156" s="10"/>
    </row>
    <row r="157" ht="30" customHeight="1">
      <c r="A157" s="12"/>
      <c r="B157" s="12"/>
      <c r="C157" s="12"/>
      <c r="D157" s="12"/>
      <c r="E157" s="12"/>
      <c r="F157" s="12"/>
      <c r="G157" s="12">
        <f t="shared" si="6"/>
        <v>0</v>
      </c>
      <c r="H157" s="12"/>
      <c r="I157" s="10"/>
      <c r="J157" s="10"/>
      <c r="K157" s="10"/>
      <c r="L157" s="10"/>
    </row>
    <row r="158" ht="30" customHeight="1">
      <c r="A158" s="19"/>
      <c r="B158" s="19"/>
      <c r="C158" s="20"/>
      <c r="D158" s="20"/>
      <c r="E158" s="19"/>
      <c r="F158" s="19"/>
      <c r="G158" s="12">
        <f t="shared" si="6"/>
        <v>0</v>
      </c>
      <c r="H158" s="21"/>
      <c r="I158" s="10"/>
      <c r="J158" s="10"/>
      <c r="K158" s="10"/>
      <c r="L158" s="10"/>
    </row>
    <row r="159" ht="30" customHeight="1">
      <c r="A159" s="19"/>
      <c r="B159" s="19"/>
      <c r="C159" s="20"/>
      <c r="D159" s="20"/>
      <c r="E159" s="19"/>
      <c r="F159" s="19"/>
      <c r="G159" s="12">
        <f t="shared" si="6"/>
        <v>0</v>
      </c>
      <c r="H159" s="21"/>
      <c r="I159" s="10"/>
      <c r="J159" s="10"/>
      <c r="K159" s="10"/>
      <c r="L159" s="10"/>
    </row>
    <row r="160" ht="30" customHeight="1">
      <c r="A160" s="19"/>
      <c r="B160" s="19"/>
      <c r="C160" s="20"/>
      <c r="D160" s="20"/>
      <c r="E160" s="19"/>
      <c r="F160" s="19"/>
      <c r="G160" s="12">
        <f t="shared" si="6"/>
        <v>0</v>
      </c>
      <c r="H160" s="21"/>
      <c r="I160" s="10"/>
      <c r="J160" s="10"/>
      <c r="K160" s="10"/>
      <c r="L160" s="10"/>
    </row>
    <row r="161" ht="30" customHeight="1">
      <c r="A161" s="19"/>
      <c r="B161" s="19"/>
      <c r="C161" s="20"/>
      <c r="D161" s="20"/>
      <c r="E161" s="19"/>
      <c r="F161" s="19"/>
      <c r="G161" s="12">
        <f t="shared" si="6"/>
        <v>0</v>
      </c>
      <c r="H161" s="21"/>
      <c r="I161" s="10"/>
      <c r="J161" s="10"/>
      <c r="K161" s="10"/>
      <c r="L161" s="10"/>
    </row>
    <row r="162" ht="30" customHeight="1">
      <c r="A162" s="20"/>
      <c r="B162" s="20"/>
      <c r="C162" s="20"/>
      <c r="D162" s="20"/>
      <c r="E162" s="19"/>
      <c r="F162" s="20"/>
      <c r="G162" s="12">
        <f t="shared" si="6"/>
        <v>0</v>
      </c>
      <c r="H162" s="21"/>
      <c r="I162" s="10"/>
      <c r="J162" s="10"/>
      <c r="K162" s="10"/>
      <c r="L162" s="10"/>
    </row>
    <row r="163" ht="30" customHeight="1">
      <c r="A163" s="20"/>
      <c r="B163" s="20"/>
      <c r="C163" s="20"/>
      <c r="D163" s="20"/>
      <c r="E163" s="20"/>
      <c r="F163" s="20"/>
      <c r="G163" s="12">
        <f t="shared" si="6"/>
        <v>0</v>
      </c>
      <c r="H163" s="21"/>
      <c r="I163" s="10"/>
      <c r="J163" s="10"/>
      <c r="K163" s="10"/>
      <c r="L163" s="10"/>
    </row>
    <row r="164" ht="30" customHeight="1">
      <c r="A164" s="20"/>
      <c r="B164" s="20"/>
      <c r="C164" s="20"/>
      <c r="D164" s="20"/>
      <c r="E164" s="19"/>
      <c r="F164" s="20"/>
      <c r="G164" s="12">
        <f t="shared" si="6"/>
        <v>0</v>
      </c>
      <c r="H164" s="21"/>
      <c r="I164" s="10"/>
      <c r="J164" s="10"/>
      <c r="K164" s="10"/>
      <c r="L164" s="10"/>
    </row>
    <row r="165" ht="30" customHeight="1">
      <c r="A165" s="20"/>
      <c r="B165" s="20"/>
      <c r="C165" s="20"/>
      <c r="D165" s="20"/>
      <c r="E165" s="19"/>
      <c r="F165" s="20"/>
      <c r="G165" s="12">
        <f t="shared" si="6"/>
        <v>0</v>
      </c>
      <c r="H165" s="21"/>
      <c r="I165" s="10"/>
      <c r="J165" s="10"/>
      <c r="K165" s="10"/>
      <c r="L165" s="10"/>
    </row>
    <row r="166" ht="30" customHeight="1">
      <c r="A166" s="20"/>
      <c r="B166" s="20"/>
      <c r="C166" s="20"/>
      <c r="D166" s="20"/>
      <c r="E166" s="19"/>
      <c r="F166" s="20"/>
      <c r="G166" s="12">
        <f t="shared" si="6"/>
        <v>0</v>
      </c>
      <c r="H166" s="21"/>
      <c r="I166" s="10"/>
      <c r="J166" s="10"/>
      <c r="K166" s="10"/>
      <c r="L166" s="10"/>
    </row>
    <row r="167" ht="30" customHeight="1">
      <c r="A167" s="20"/>
      <c r="B167" s="20"/>
      <c r="C167" s="20"/>
      <c r="D167" s="20"/>
      <c r="E167" s="20"/>
      <c r="F167" s="20"/>
      <c r="G167" s="12">
        <f t="shared" si="6"/>
        <v>0</v>
      </c>
      <c r="H167" s="21"/>
      <c r="I167" s="10"/>
      <c r="J167" s="10"/>
      <c r="K167" s="10"/>
      <c r="L167" s="10"/>
    </row>
    <row r="168" ht="30" customHeight="1">
      <c r="A168" s="20"/>
      <c r="B168" s="20"/>
      <c r="C168" s="20"/>
      <c r="D168" s="20"/>
      <c r="E168" s="19"/>
      <c r="F168" s="20"/>
      <c r="G168" s="12">
        <f t="shared" si="6"/>
        <v>0</v>
      </c>
      <c r="H168" s="21"/>
      <c r="I168" s="10"/>
      <c r="J168" s="10"/>
      <c r="K168" s="10"/>
      <c r="L168" s="10"/>
    </row>
    <row r="169" ht="30" customHeight="1">
      <c r="A169" s="20"/>
      <c r="B169" s="20"/>
      <c r="C169" s="20"/>
      <c r="D169" s="20"/>
      <c r="E169" s="19"/>
      <c r="F169" s="20"/>
      <c r="G169" s="12">
        <f t="shared" si="6"/>
        <v>0</v>
      </c>
      <c r="H169" s="21"/>
      <c r="I169" s="10"/>
      <c r="J169" s="10"/>
      <c r="K169" s="10"/>
      <c r="L169" s="10"/>
    </row>
    <row r="170" ht="30" customHeight="1">
      <c r="A170" s="20"/>
      <c r="B170" s="20"/>
      <c r="C170" s="20"/>
      <c r="D170" s="20"/>
      <c r="E170" s="19"/>
      <c r="F170" s="20"/>
      <c r="G170" s="12">
        <f t="shared" si="6"/>
        <v>0</v>
      </c>
      <c r="H170" s="21"/>
      <c r="I170" s="10"/>
      <c r="J170" s="10"/>
      <c r="K170" s="10"/>
      <c r="L170" s="10"/>
    </row>
    <row r="171" ht="30" customHeight="1">
      <c r="A171" s="20"/>
      <c r="B171" s="20"/>
      <c r="C171" s="20"/>
      <c r="D171" s="20"/>
      <c r="E171" s="19"/>
      <c r="F171" s="20"/>
      <c r="G171" s="12">
        <f t="shared" si="6"/>
        <v>0</v>
      </c>
      <c r="H171" s="21"/>
      <c r="I171" s="10"/>
      <c r="J171" s="10"/>
      <c r="K171" s="10"/>
      <c r="L171" s="10"/>
    </row>
    <row r="172" ht="30" customHeight="1">
      <c r="A172" s="20"/>
      <c r="B172" s="20"/>
      <c r="C172" s="20"/>
      <c r="D172" s="20"/>
      <c r="E172" s="19"/>
      <c r="F172" s="20"/>
      <c r="G172" s="12">
        <f t="shared" si="6"/>
        <v>0</v>
      </c>
      <c r="H172" s="21"/>
      <c r="I172" s="10"/>
      <c r="J172" s="10"/>
      <c r="K172" s="10"/>
      <c r="L172" s="10"/>
    </row>
    <row r="173" ht="30" customHeight="1">
      <c r="A173" s="20"/>
      <c r="B173" s="20"/>
      <c r="C173" s="20"/>
      <c r="D173" s="20"/>
      <c r="E173" s="19"/>
      <c r="F173" s="20"/>
      <c r="G173" s="12">
        <f t="shared" si="6"/>
        <v>0</v>
      </c>
      <c r="H173" s="21"/>
      <c r="I173" s="10"/>
      <c r="J173" s="10"/>
      <c r="K173" s="10"/>
      <c r="L173" s="10"/>
    </row>
    <row r="174" ht="30" customHeight="1">
      <c r="A174" s="20"/>
      <c r="B174" s="20"/>
      <c r="C174" s="20"/>
      <c r="D174" s="20"/>
      <c r="E174" s="19"/>
      <c r="F174" s="20"/>
      <c r="G174" s="12">
        <f t="shared" si="6"/>
        <v>0</v>
      </c>
      <c r="H174" s="21"/>
      <c r="I174" s="10"/>
      <c r="J174" s="10"/>
      <c r="K174" s="10"/>
      <c r="L174" s="10"/>
    </row>
    <row r="175" ht="30" customHeight="1">
      <c r="A175" s="20"/>
      <c r="B175" s="20"/>
      <c r="C175" s="20"/>
      <c r="D175" s="20"/>
      <c r="E175" s="19"/>
      <c r="F175" s="20"/>
      <c r="G175" s="12">
        <f t="shared" si="6"/>
        <v>0</v>
      </c>
      <c r="H175" s="21"/>
      <c r="I175" s="10"/>
      <c r="J175" s="10"/>
      <c r="K175" s="10"/>
      <c r="L175" s="10"/>
    </row>
    <row r="176" ht="30" customHeight="1">
      <c r="A176" s="20"/>
      <c r="B176" s="20"/>
      <c r="C176" s="20"/>
      <c r="D176" s="20"/>
      <c r="E176" s="19"/>
      <c r="F176" s="20"/>
      <c r="G176" s="12">
        <f t="shared" si="6"/>
        <v>0</v>
      </c>
      <c r="H176" s="21"/>
      <c r="I176" s="10"/>
      <c r="J176" s="10"/>
      <c r="K176" s="10"/>
      <c r="L176" s="10"/>
    </row>
    <row r="177" ht="30" customHeight="1">
      <c r="A177" s="20"/>
      <c r="B177" s="20"/>
      <c r="C177" s="20"/>
      <c r="D177" s="20"/>
      <c r="E177" s="19"/>
      <c r="F177" s="20"/>
      <c r="G177" s="12">
        <f t="shared" si="6"/>
        <v>0</v>
      </c>
      <c r="H177" s="21"/>
      <c r="I177" s="10"/>
      <c r="J177" s="10"/>
      <c r="K177" s="10"/>
      <c r="L177" s="10"/>
    </row>
    <row r="178" ht="30" customHeight="1">
      <c r="A178" s="20"/>
      <c r="B178" s="20"/>
      <c r="C178" s="20"/>
      <c r="D178" s="20"/>
      <c r="E178" s="19"/>
      <c r="F178" s="20"/>
      <c r="G178" s="12">
        <f t="shared" si="6"/>
        <v>0</v>
      </c>
      <c r="H178" s="21"/>
      <c r="I178" s="10"/>
      <c r="J178" s="10"/>
      <c r="K178" s="10"/>
      <c r="L178" s="10"/>
    </row>
    <row r="179" ht="30" customHeight="1">
      <c r="A179" s="20"/>
      <c r="B179" s="20"/>
      <c r="C179" s="20"/>
      <c r="D179" s="20"/>
      <c r="E179" s="19"/>
      <c r="F179" s="20"/>
      <c r="G179" s="12">
        <f t="shared" si="6"/>
        <v>0</v>
      </c>
      <c r="H179" s="21"/>
      <c r="I179" s="10"/>
      <c r="J179" s="10"/>
      <c r="K179" s="10"/>
      <c r="L179" s="10"/>
    </row>
    <row r="180" ht="30" customHeight="1">
      <c r="A180" s="20"/>
      <c r="B180" s="20"/>
      <c r="C180" s="20"/>
      <c r="D180" s="20"/>
      <c r="E180" s="20"/>
      <c r="F180" s="20"/>
      <c r="G180" s="12">
        <f t="shared" si="6"/>
        <v>0</v>
      </c>
      <c r="H180" s="21"/>
      <c r="I180" s="10"/>
      <c r="J180" s="10"/>
      <c r="K180" s="10"/>
      <c r="L180" s="10"/>
    </row>
    <row r="181" ht="30" customHeight="1">
      <c r="A181" s="20"/>
      <c r="B181" s="20"/>
      <c r="C181" s="20"/>
      <c r="D181" s="20"/>
      <c r="E181" s="20"/>
      <c r="F181" s="20"/>
      <c r="G181" s="12">
        <f t="shared" si="6"/>
        <v>0</v>
      </c>
      <c r="H181" s="21"/>
      <c r="I181" s="10"/>
      <c r="J181" s="10"/>
      <c r="K181" s="10"/>
      <c r="L181" s="10"/>
    </row>
    <row r="182" ht="30" customHeight="1">
      <c r="A182" s="20"/>
      <c r="B182" s="20"/>
      <c r="C182" s="20"/>
      <c r="D182" s="20"/>
      <c r="E182" s="20"/>
      <c r="F182" s="20"/>
      <c r="G182" s="12">
        <f t="shared" si="6"/>
        <v>0</v>
      </c>
      <c r="H182" s="21"/>
      <c r="I182" s="10"/>
      <c r="J182" s="10"/>
      <c r="K182" s="10"/>
      <c r="L182" s="10"/>
    </row>
    <row r="183" ht="30" customHeight="1">
      <c r="A183" s="20"/>
      <c r="B183" s="20"/>
      <c r="C183" s="20"/>
      <c r="D183" s="20"/>
      <c r="E183" s="20"/>
      <c r="F183" s="20"/>
      <c r="G183" s="12">
        <f t="shared" si="6"/>
        <v>0</v>
      </c>
      <c r="H183" s="21"/>
      <c r="I183" s="10"/>
      <c r="J183" s="10"/>
      <c r="K183" s="10"/>
      <c r="L183" s="10"/>
    </row>
    <row r="184" ht="30" customHeight="1">
      <c r="A184" s="20"/>
      <c r="B184" s="20"/>
      <c r="C184" s="20"/>
      <c r="D184" s="20"/>
      <c r="E184" s="20"/>
      <c r="F184" s="20"/>
      <c r="G184" s="12">
        <f t="shared" si="6"/>
        <v>0</v>
      </c>
      <c r="H184" s="21"/>
      <c r="I184" s="10"/>
      <c r="J184" s="10"/>
      <c r="K184" s="10"/>
      <c r="L184" s="10"/>
    </row>
    <row r="185" ht="30" customHeight="1">
      <c r="A185" s="20"/>
      <c r="B185" s="20"/>
      <c r="C185" s="20"/>
      <c r="D185" s="20"/>
      <c r="E185" s="20"/>
      <c r="F185" s="20"/>
      <c r="G185" s="12">
        <f t="shared" si="6"/>
        <v>0</v>
      </c>
      <c r="H185" s="21"/>
      <c r="I185" s="10"/>
      <c r="J185" s="10"/>
      <c r="K185" s="10"/>
      <c r="L185" s="10"/>
    </row>
    <row r="186" ht="30" customHeight="1">
      <c r="A186" s="20"/>
      <c r="B186" s="20"/>
      <c r="C186" s="20"/>
      <c r="D186" s="20"/>
      <c r="E186" s="20"/>
      <c r="F186" s="20"/>
      <c r="G186" s="12">
        <f t="shared" si="6"/>
        <v>0</v>
      </c>
      <c r="H186" s="21"/>
      <c r="I186" s="10"/>
      <c r="J186" s="10"/>
      <c r="K186" s="10"/>
      <c r="L186" s="10"/>
    </row>
    <row r="187" ht="30" customHeight="1">
      <c r="A187" s="20"/>
      <c r="B187" s="20"/>
      <c r="C187" s="20"/>
      <c r="D187" s="20"/>
      <c r="E187" s="20"/>
      <c r="F187" s="20"/>
      <c r="G187" s="12">
        <f t="shared" si="6"/>
        <v>0</v>
      </c>
      <c r="H187" s="21"/>
      <c r="I187" s="10"/>
      <c r="J187" s="10"/>
      <c r="K187" s="10"/>
      <c r="L187" s="10"/>
    </row>
    <row r="188" ht="30" customHeight="1">
      <c r="A188" s="20"/>
      <c r="B188" s="20"/>
      <c r="C188" s="20"/>
      <c r="D188" s="20"/>
      <c r="E188" s="20"/>
      <c r="F188" s="20"/>
      <c r="G188" s="12">
        <f t="shared" si="6"/>
        <v>0</v>
      </c>
      <c r="H188" s="21"/>
      <c r="I188" s="10"/>
      <c r="J188" s="10"/>
      <c r="K188" s="10"/>
      <c r="L188" s="10"/>
    </row>
    <row r="189" ht="30" customHeight="1">
      <c r="A189" s="38"/>
      <c r="B189" s="38"/>
      <c r="C189" s="39"/>
      <c r="D189" s="40" t="s">
        <v>29</v>
      </c>
      <c r="E189" s="40">
        <f>SUM(E155:E188)</f>
        <v>0</v>
      </c>
      <c r="F189" s="40">
        <f>SUM(F155:F188)</f>
        <v>0</v>
      </c>
      <c r="G189" s="44">
        <f>SUM(G155:G188)</f>
        <v>0</v>
      </c>
      <c r="H189" s="38"/>
      <c r="I189" s="10"/>
      <c r="J189" s="10"/>
      <c r="K189" s="10"/>
      <c r="L189" s="10"/>
    </row>
  </sheetData>
  <mergeCells count="7">
    <mergeCell ref="A1:H1"/>
    <mergeCell ref="J11:M12"/>
    <mergeCell ref="I23:I24"/>
    <mergeCell ref="A39:H39"/>
    <mergeCell ref="A77:H77"/>
    <mergeCell ref="A115:H115"/>
    <mergeCell ref="A153:H153"/>
  </mergeCells>
  <dataValidations count="1" disablePrompts="0">
    <dataValidation sqref="D3:D36 D41:D74 D79:D112 D117:D150 D155:D188" type="list" allowBlank="1" errorStyle="stop" imeMode="noControl" operator="between" showDropDown="0" showErrorMessage="1" showInputMessage="1">
      <formula1>'данные для выпад списка'!$C$15:$C$22</formula1>
    </dataValidation>
  </dataValidation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uri="{231B7EB2-2AFC-4442-B178-5FFDF5851E7C}">
      <userProtectedRanges>
        <userProtectedRange name="ППКтабл1" sqref="A1:H2">
          <users>
            <user id="1476131511" name="ЦСО Калуга"/>
          </users>
        </userProtectedRange>
        <userProtectedRange name="ППКсводтабл" sqref="J3:K8">
          <users>
            <user id="1476131511" name="ЦСО Калуга"/>
          </users>
        </userProtectedRange>
        <userProtectedRange name="ППКитог1" sqref="A37:H37">
          <users>
            <user id="1476131511" name="ЦСО Калуга"/>
          </users>
        </userProtectedRange>
        <userProtectedRange name="ППКтабл2" sqref="A39:H40">
          <users>
            <user id="1476131511" name="ЦСО Калуга"/>
          </users>
        </userProtectedRange>
        <userProtectedRange name="ППКитог2" sqref="A75:H75">
          <users>
            <user id="1476131511" name="ЦСО Калуга"/>
          </users>
        </userProtectedRange>
        <userProtectedRange name="ППКтабл3" sqref="A77:H78">
          <users>
            <user id="1476131511" name="ЦСО Калуга"/>
          </users>
        </userProtectedRange>
        <userProtectedRange name="ППКитог3" sqref="A113:H113">
          <users>
            <user id="1476131511" name="ЦСО Калуга"/>
          </users>
        </userProtectedRange>
        <userProtectedRange name="ППКтабл4" sqref="A115:H116">
          <users>
            <user id="1476131511" name="ЦСО Калуга"/>
          </users>
        </userProtectedRange>
        <userProtectedRange name="ППКитог4" sqref="A151:H151">
          <users>
            <user id="1476131511" name="ЦСО Калуга"/>
          </users>
        </userProtectedRange>
        <userProtectedRange name="ППКтабл5" sqref="A153:H154">
          <users>
            <user id="1476131511" name="ЦСО Калуга"/>
          </users>
        </userProtectedRange>
        <userProtectedRange name="ППКитог5" sqref="A189:H189">
          <users>
            <user id="1476131511" name="ЦСО Калуга"/>
          </users>
        </userProtectedRange>
      </userProtectedRange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12" zoomScale="85" workbookViewId="0">
      <selection activeCell="J14" activeCellId="0" sqref="J14:M15"/>
    </sheetView>
  </sheetViews>
  <sheetFormatPr defaultColWidth="8.85546875" defaultRowHeight="14.25"/>
  <cols>
    <col customWidth="1" min="1" max="1" style="1" width="78.5703125"/>
    <col customWidth="1" min="2" max="2" style="1" width="28.140625"/>
    <col customWidth="1" min="3" max="3" style="1" width="23.5703125"/>
    <col customWidth="1" min="4" max="4" style="1" width="47"/>
    <col customWidth="1" min="5" max="5" style="1" width="13.42578125"/>
    <col customWidth="1" min="6" max="6" style="1" width="15.28515625"/>
    <col customWidth="1" min="7" max="7" style="1" width="14.28515625"/>
    <col customWidth="1" min="8" max="8" style="1" width="59.85546875"/>
    <col min="9" max="9" style="1" width="8.85546875"/>
    <col customWidth="1" min="10" max="10" style="1" width="22.7109375"/>
    <col customWidth="1" min="11" max="11" style="1" width="25.7109375"/>
    <col customWidth="1" min="12" max="12" style="1" width="20.28515625"/>
    <col customWidth="1" min="13" max="13" style="1" width="13.42578125"/>
    <col min="14" max="16384" style="1" width="8.85546875"/>
  </cols>
  <sheetData>
    <row r="1" ht="30" customHeight="1">
      <c r="A1" s="45" t="s">
        <v>9</v>
      </c>
      <c r="B1" s="46"/>
      <c r="C1" s="46"/>
      <c r="D1" s="46"/>
      <c r="E1" s="46"/>
      <c r="F1" s="46"/>
      <c r="G1" s="46"/>
      <c r="H1" s="46"/>
    </row>
    <row r="2" ht="30" customHeight="1">
      <c r="A2" s="11" t="s">
        <v>10</v>
      </c>
      <c r="B2" s="11" t="s">
        <v>35</v>
      </c>
      <c r="C2" s="47" t="s">
        <v>12</v>
      </c>
      <c r="D2" s="48" t="s">
        <v>13</v>
      </c>
      <c r="E2" s="11" t="s">
        <v>14</v>
      </c>
      <c r="F2" s="47" t="s">
        <v>15</v>
      </c>
      <c r="G2" s="47" t="s">
        <v>36</v>
      </c>
      <c r="H2" s="48" t="s">
        <v>17</v>
      </c>
    </row>
    <row r="3" ht="30" customHeight="1">
      <c r="A3" s="12"/>
      <c r="B3" s="12"/>
      <c r="C3" s="48"/>
      <c r="D3" s="31"/>
      <c r="E3" s="12"/>
      <c r="F3" s="48"/>
      <c r="G3" s="48">
        <f t="shared" ref="G3:G24" si="7">E3*F3</f>
        <v>0</v>
      </c>
      <c r="H3" s="48"/>
      <c r="K3" s="49" t="s">
        <v>18</v>
      </c>
      <c r="L3" s="49"/>
    </row>
    <row r="4" ht="30" customHeight="1">
      <c r="A4" s="12"/>
      <c r="B4" s="12"/>
      <c r="C4" s="48"/>
      <c r="D4" s="31"/>
      <c r="E4" s="12"/>
      <c r="F4" s="48"/>
      <c r="G4" s="48">
        <f t="shared" si="7"/>
        <v>0</v>
      </c>
      <c r="H4" s="48"/>
      <c r="K4" s="50" t="s">
        <v>37</v>
      </c>
      <c r="L4" s="51">
        <v>20214</v>
      </c>
    </row>
    <row r="5" ht="30" customHeight="1">
      <c r="A5" s="12"/>
      <c r="B5" s="12"/>
      <c r="C5" s="48"/>
      <c r="D5" s="31"/>
      <c r="E5" s="12"/>
      <c r="F5" s="48"/>
      <c r="G5" s="48">
        <f t="shared" si="7"/>
        <v>0</v>
      </c>
      <c r="H5" s="48"/>
      <c r="K5" s="52" t="s">
        <v>20</v>
      </c>
      <c r="L5" s="53">
        <f>G25+G51+G77+G103+G129</f>
        <v>0</v>
      </c>
    </row>
    <row r="6" ht="30" customHeight="1">
      <c r="A6" s="19"/>
      <c r="B6" s="19"/>
      <c r="C6" s="54"/>
      <c r="D6" s="31"/>
      <c r="E6" s="55"/>
      <c r="F6" s="55"/>
      <c r="G6" s="48">
        <f t="shared" si="7"/>
        <v>0</v>
      </c>
      <c r="H6" s="56"/>
      <c r="K6" s="52" t="s">
        <v>21</v>
      </c>
      <c r="L6" s="57">
        <f>L5/L4*100</f>
        <v>0</v>
      </c>
    </row>
    <row r="7" ht="30" customHeight="1">
      <c r="A7" s="19"/>
      <c r="B7" s="19"/>
      <c r="C7" s="54"/>
      <c r="D7" s="31"/>
      <c r="E7" s="55"/>
      <c r="F7" s="55"/>
      <c r="G7" s="48">
        <f t="shared" si="7"/>
        <v>0</v>
      </c>
      <c r="H7" s="56"/>
      <c r="K7" s="52" t="s">
        <v>22</v>
      </c>
      <c r="L7" s="53">
        <f>L4-L5</f>
        <v>20214</v>
      </c>
    </row>
    <row r="8" ht="30" customHeight="1">
      <c r="A8" s="19"/>
      <c r="B8" s="19"/>
      <c r="C8" s="54"/>
      <c r="D8" s="31"/>
      <c r="E8" s="55"/>
      <c r="F8" s="55"/>
      <c r="G8" s="48">
        <f t="shared" si="7"/>
        <v>0</v>
      </c>
      <c r="H8" s="56"/>
      <c r="K8" s="50" t="s">
        <v>23</v>
      </c>
      <c r="L8" s="58">
        <v>2021.4000000000001</v>
      </c>
    </row>
    <row r="9" ht="30" customHeight="1">
      <c r="A9" s="19"/>
      <c r="B9" s="19"/>
      <c r="C9" s="54"/>
      <c r="D9" s="31"/>
      <c r="E9" s="55"/>
      <c r="F9" s="55"/>
      <c r="G9" s="48">
        <f t="shared" si="7"/>
        <v>0</v>
      </c>
      <c r="H9" s="56"/>
    </row>
    <row r="10" ht="30" customHeight="1">
      <c r="A10" s="54"/>
      <c r="B10" s="54"/>
      <c r="C10" s="54"/>
      <c r="D10" s="31"/>
      <c r="E10" s="55"/>
      <c r="F10" s="54"/>
      <c r="G10" s="48">
        <f t="shared" si="7"/>
        <v>0</v>
      </c>
      <c r="H10" s="56"/>
      <c r="J10" s="59"/>
    </row>
    <row r="11" ht="30" customHeight="1">
      <c r="A11" s="54"/>
      <c r="B11" s="54"/>
      <c r="C11" s="54"/>
      <c r="D11" s="31"/>
      <c r="E11" s="54"/>
      <c r="F11" s="54"/>
      <c r="G11" s="48">
        <f t="shared" si="7"/>
        <v>0</v>
      </c>
      <c r="H11" s="56"/>
    </row>
    <row r="12" ht="30" customHeight="1">
      <c r="A12" s="54"/>
      <c r="B12" s="54"/>
      <c r="C12" s="54"/>
      <c r="D12" s="31"/>
      <c r="E12" s="55"/>
      <c r="F12" s="54"/>
      <c r="G12" s="48">
        <f t="shared" si="7"/>
        <v>0</v>
      </c>
      <c r="H12" s="56"/>
    </row>
    <row r="13" ht="30" customHeight="1">
      <c r="A13" s="54"/>
      <c r="B13" s="54"/>
      <c r="C13" s="54"/>
      <c r="D13" s="31"/>
      <c r="E13" s="55"/>
      <c r="F13" s="54"/>
      <c r="G13" s="48">
        <f t="shared" si="7"/>
        <v>0</v>
      </c>
      <c r="H13" s="56"/>
    </row>
    <row r="14" ht="30" customHeight="1">
      <c r="A14" s="54"/>
      <c r="B14" s="54"/>
      <c r="C14" s="54"/>
      <c r="D14" s="31"/>
      <c r="E14" s="55"/>
      <c r="F14" s="54"/>
      <c r="G14" s="48">
        <f t="shared" si="7"/>
        <v>0</v>
      </c>
      <c r="H14" s="56"/>
      <c r="J14" s="60" t="s">
        <v>24</v>
      </c>
      <c r="K14" s="60"/>
      <c r="L14" s="60"/>
      <c r="M14" s="60"/>
    </row>
    <row r="15" ht="30" customHeight="1">
      <c r="A15" s="54"/>
      <c r="B15" s="54"/>
      <c r="C15" s="54"/>
      <c r="D15" s="31"/>
      <c r="E15" s="54"/>
      <c r="F15" s="54"/>
      <c r="G15" s="48">
        <f t="shared" si="7"/>
        <v>0</v>
      </c>
      <c r="H15" s="56"/>
      <c r="J15" s="60"/>
      <c r="K15" s="60"/>
      <c r="L15" s="60"/>
      <c r="M15" s="60"/>
    </row>
    <row r="16" ht="30" customHeight="1">
      <c r="A16" s="54"/>
      <c r="B16" s="54"/>
      <c r="C16" s="54"/>
      <c r="D16" s="31"/>
      <c r="E16" s="55"/>
      <c r="F16" s="54"/>
      <c r="G16" s="48">
        <f t="shared" si="7"/>
        <v>0</v>
      </c>
      <c r="H16" s="56"/>
      <c r="J16" s="21" t="s">
        <v>25</v>
      </c>
      <c r="K16" s="21" t="s">
        <v>26</v>
      </c>
      <c r="L16" s="21" t="s">
        <v>27</v>
      </c>
      <c r="M16" s="21" t="s">
        <v>28</v>
      </c>
    </row>
    <row r="17" ht="30" customHeight="1">
      <c r="A17" s="54"/>
      <c r="B17" s="54"/>
      <c r="C17" s="54"/>
      <c r="D17" s="31"/>
      <c r="E17" s="55"/>
      <c r="F17" s="54"/>
      <c r="G17" s="48">
        <f t="shared" si="7"/>
        <v>0</v>
      </c>
      <c r="H17" s="56"/>
      <c r="J17" s="21"/>
      <c r="K17" s="21"/>
      <c r="L17" s="21"/>
      <c r="M17" s="30"/>
    </row>
    <row r="18" ht="30" customHeight="1">
      <c r="A18" s="54"/>
      <c r="B18" s="54"/>
      <c r="C18" s="54"/>
      <c r="D18" s="31"/>
      <c r="E18" s="55"/>
      <c r="F18" s="54"/>
      <c r="G18" s="48">
        <f t="shared" si="7"/>
        <v>0</v>
      </c>
      <c r="H18" s="56"/>
      <c r="J18" s="21"/>
      <c r="K18" s="21"/>
      <c r="L18" s="21"/>
      <c r="M18" s="30"/>
    </row>
    <row r="19" ht="30" customHeight="1">
      <c r="A19" s="54"/>
      <c r="B19" s="54"/>
      <c r="C19" s="54"/>
      <c r="D19" s="31"/>
      <c r="E19" s="55"/>
      <c r="F19" s="54"/>
      <c r="G19" s="48">
        <f t="shared" si="7"/>
        <v>0</v>
      </c>
      <c r="H19" s="56"/>
      <c r="J19" s="21"/>
      <c r="K19" s="21"/>
      <c r="L19" s="21"/>
      <c r="M19" s="30"/>
    </row>
    <row r="20" ht="30" customHeight="1">
      <c r="A20" s="54"/>
      <c r="B20" s="54"/>
      <c r="C20" s="54"/>
      <c r="D20" s="31"/>
      <c r="E20" s="55"/>
      <c r="F20" s="54"/>
      <c r="G20" s="48">
        <f t="shared" si="7"/>
        <v>0</v>
      </c>
      <c r="H20" s="56"/>
      <c r="J20" s="21"/>
      <c r="K20" s="21"/>
      <c r="L20" s="21"/>
      <c r="M20" s="30"/>
    </row>
    <row r="21" ht="30" customHeight="1">
      <c r="A21" s="54"/>
      <c r="B21" s="54"/>
      <c r="C21" s="54"/>
      <c r="D21" s="31"/>
      <c r="E21" s="55"/>
      <c r="F21" s="54"/>
      <c r="G21" s="48">
        <f t="shared" si="7"/>
        <v>0</v>
      </c>
      <c r="H21" s="56"/>
      <c r="J21" s="30"/>
      <c r="K21" s="21"/>
      <c r="L21" s="21"/>
      <c r="M21" s="30"/>
    </row>
    <row r="22" ht="30" customHeight="1">
      <c r="A22" s="54"/>
      <c r="B22" s="54"/>
      <c r="C22" s="54"/>
      <c r="D22" s="31"/>
      <c r="E22" s="55"/>
      <c r="F22" s="54"/>
      <c r="G22" s="48">
        <f t="shared" si="7"/>
        <v>0</v>
      </c>
      <c r="H22" s="56"/>
      <c r="J22" s="30"/>
      <c r="K22" s="21"/>
      <c r="L22" s="21"/>
      <c r="M22" s="30"/>
    </row>
    <row r="23" ht="30" customHeight="1">
      <c r="A23" s="54"/>
      <c r="B23" s="54"/>
      <c r="C23" s="54"/>
      <c r="D23" s="31"/>
      <c r="E23" s="55"/>
      <c r="F23" s="54"/>
      <c r="G23" s="48">
        <f t="shared" si="7"/>
        <v>0</v>
      </c>
      <c r="H23" s="56"/>
      <c r="I23" s="61"/>
      <c r="J23" s="30"/>
      <c r="K23" s="21"/>
      <c r="L23" s="21"/>
      <c r="M23" s="30"/>
    </row>
    <row r="24" ht="30" customHeight="1">
      <c r="A24" s="54"/>
      <c r="B24" s="54"/>
      <c r="C24" s="54"/>
      <c r="D24" s="31"/>
      <c r="E24" s="55"/>
      <c r="F24" s="54"/>
      <c r="G24" s="48">
        <f t="shared" si="7"/>
        <v>0</v>
      </c>
      <c r="H24" s="56"/>
      <c r="I24" s="61"/>
      <c r="J24" s="30"/>
      <c r="K24" s="21"/>
      <c r="L24" s="21"/>
      <c r="M24" s="30"/>
    </row>
    <row r="25" ht="30" customHeight="1">
      <c r="A25" s="62"/>
      <c r="B25" s="62"/>
      <c r="C25" s="39"/>
      <c r="D25" s="63" t="s">
        <v>29</v>
      </c>
      <c r="E25" s="63">
        <f>SUM(E3:E24)</f>
        <v>0</v>
      </c>
      <c r="F25" s="63">
        <f t="shared" ref="F25:G25" si="8">SUM(F3:F24)</f>
        <v>0</v>
      </c>
      <c r="G25" s="64">
        <f t="shared" si="8"/>
        <v>0</v>
      </c>
      <c r="H25" s="62"/>
      <c r="J25" s="31"/>
      <c r="K25" s="32"/>
      <c r="L25" s="32"/>
      <c r="M25" s="31"/>
    </row>
    <row r="26" ht="30" customHeight="1">
      <c r="A26" s="65"/>
      <c r="B26" s="65"/>
      <c r="C26" s="65"/>
      <c r="D26" s="65"/>
      <c r="E26" s="65"/>
      <c r="F26" s="65"/>
      <c r="G26" s="65"/>
      <c r="H26" s="65"/>
      <c r="J26" s="31"/>
      <c r="K26" s="32"/>
      <c r="L26" s="32"/>
      <c r="M26" s="31"/>
    </row>
    <row r="27" ht="30" customHeight="1">
      <c r="A27" s="66" t="s">
        <v>30</v>
      </c>
      <c r="B27" s="66"/>
      <c r="C27" s="66"/>
      <c r="D27" s="66"/>
      <c r="E27" s="66"/>
      <c r="F27" s="66"/>
      <c r="G27" s="66"/>
      <c r="H27" s="66"/>
      <c r="J27" s="31"/>
      <c r="K27" s="32"/>
      <c r="L27" s="32"/>
      <c r="M27" s="31"/>
    </row>
    <row r="28" ht="30" customHeight="1">
      <c r="A28" s="11" t="s">
        <v>10</v>
      </c>
      <c r="B28" s="11"/>
      <c r="C28" s="47" t="s">
        <v>12</v>
      </c>
      <c r="D28" s="48" t="s">
        <v>13</v>
      </c>
      <c r="E28" s="11" t="s">
        <v>14</v>
      </c>
      <c r="F28" s="47" t="s">
        <v>15</v>
      </c>
      <c r="G28" s="47" t="s">
        <v>36</v>
      </c>
      <c r="H28" s="48" t="s">
        <v>17</v>
      </c>
      <c r="J28" s="31"/>
      <c r="K28" s="35"/>
      <c r="L28" s="35"/>
      <c r="M28" s="36"/>
    </row>
    <row r="29" ht="30" customHeight="1">
      <c r="A29" s="12"/>
      <c r="B29" s="12"/>
      <c r="C29" s="12"/>
      <c r="D29" s="48"/>
      <c r="E29" s="12"/>
      <c r="F29" s="48"/>
      <c r="G29" s="48">
        <f t="shared" ref="G29:G50" si="9">E29*F29</f>
        <v>0</v>
      </c>
      <c r="H29" s="48"/>
      <c r="J29" s="31"/>
      <c r="K29" s="35"/>
      <c r="L29" s="35"/>
      <c r="M29" s="36"/>
    </row>
    <row r="30" ht="30" customHeight="1">
      <c r="A30" s="12"/>
      <c r="B30" s="12"/>
      <c r="C30" s="12"/>
      <c r="D30" s="48"/>
      <c r="E30" s="12"/>
      <c r="F30" s="48"/>
      <c r="G30" s="48">
        <f t="shared" si="9"/>
        <v>0</v>
      </c>
      <c r="H30" s="48"/>
      <c r="J30" s="35"/>
      <c r="K30" s="35"/>
      <c r="L30" s="35"/>
      <c r="M30" s="36"/>
    </row>
    <row r="31" ht="30" customHeight="1">
      <c r="A31" s="12"/>
      <c r="B31" s="12"/>
      <c r="C31" s="12"/>
      <c r="D31" s="48"/>
      <c r="E31" s="12"/>
      <c r="F31" s="48"/>
      <c r="G31" s="48">
        <f t="shared" si="9"/>
        <v>0</v>
      </c>
      <c r="H31" s="48"/>
      <c r="J31" s="35"/>
      <c r="K31" s="35"/>
      <c r="L31" s="35"/>
      <c r="M31" s="36"/>
    </row>
    <row r="32" ht="30" customHeight="1">
      <c r="A32" s="19"/>
      <c r="B32" s="19"/>
      <c r="C32" s="19"/>
      <c r="D32" s="54"/>
      <c r="E32" s="55"/>
      <c r="F32" s="55"/>
      <c r="G32" s="48">
        <f t="shared" si="9"/>
        <v>0</v>
      </c>
      <c r="H32" s="56"/>
      <c r="J32" s="32"/>
      <c r="K32" s="32"/>
      <c r="L32" s="32"/>
      <c r="M32" s="31"/>
    </row>
    <row r="33" ht="30" customHeight="1">
      <c r="A33" s="19"/>
      <c r="B33" s="19"/>
      <c r="C33" s="19"/>
      <c r="D33" s="54"/>
      <c r="E33" s="55"/>
      <c r="F33" s="55"/>
      <c r="G33" s="48">
        <f t="shared" si="9"/>
        <v>0</v>
      </c>
      <c r="H33" s="56"/>
    </row>
    <row r="34" ht="30" customHeight="1">
      <c r="A34" s="19"/>
      <c r="B34" s="19"/>
      <c r="C34" s="19"/>
      <c r="D34" s="54"/>
      <c r="E34" s="55"/>
      <c r="F34" s="55"/>
      <c r="G34" s="48">
        <f t="shared" si="9"/>
        <v>0</v>
      </c>
      <c r="H34" s="56"/>
    </row>
    <row r="35" ht="30" customHeight="1">
      <c r="A35" s="19"/>
      <c r="B35" s="19"/>
      <c r="C35" s="19"/>
      <c r="D35" s="54"/>
      <c r="E35" s="55"/>
      <c r="F35" s="55"/>
      <c r="G35" s="48">
        <f t="shared" si="9"/>
        <v>0</v>
      </c>
      <c r="H35" s="56"/>
    </row>
    <row r="36" ht="30" customHeight="1">
      <c r="A36" s="54"/>
      <c r="B36" s="54"/>
      <c r="C36" s="54"/>
      <c r="D36" s="54"/>
      <c r="E36" s="55"/>
      <c r="F36" s="54"/>
      <c r="G36" s="48">
        <f t="shared" si="9"/>
        <v>0</v>
      </c>
      <c r="H36" s="56"/>
    </row>
    <row r="37" ht="30" customHeight="1">
      <c r="A37" s="54"/>
      <c r="B37" s="54"/>
      <c r="C37" s="54"/>
      <c r="D37" s="54"/>
      <c r="E37" s="54"/>
      <c r="F37" s="54"/>
      <c r="G37" s="48">
        <f t="shared" si="9"/>
        <v>0</v>
      </c>
      <c r="H37" s="56"/>
    </row>
    <row r="38" ht="30" customHeight="1">
      <c r="A38" s="54"/>
      <c r="B38" s="54"/>
      <c r="C38" s="54"/>
      <c r="D38" s="54"/>
      <c r="E38" s="55"/>
      <c r="F38" s="54"/>
      <c r="G38" s="48">
        <f t="shared" si="9"/>
        <v>0</v>
      </c>
      <c r="H38" s="56"/>
    </row>
    <row r="39" ht="30" customHeight="1">
      <c r="A39" s="54"/>
      <c r="B39" s="54"/>
      <c r="C39" s="54"/>
      <c r="D39" s="54"/>
      <c r="E39" s="55"/>
      <c r="F39" s="54"/>
      <c r="G39" s="48">
        <f t="shared" si="9"/>
        <v>0</v>
      </c>
      <c r="H39" s="56"/>
    </row>
    <row r="40" ht="30" customHeight="1">
      <c r="A40" s="54"/>
      <c r="B40" s="54"/>
      <c r="C40" s="54"/>
      <c r="D40" s="54"/>
      <c r="E40" s="55"/>
      <c r="F40" s="54"/>
      <c r="G40" s="48">
        <f t="shared" si="9"/>
        <v>0</v>
      </c>
      <c r="H40" s="56"/>
    </row>
    <row r="41" ht="30" customHeight="1">
      <c r="A41" s="54"/>
      <c r="B41" s="54"/>
      <c r="C41" s="54"/>
      <c r="D41" s="54"/>
      <c r="E41" s="54"/>
      <c r="F41" s="54"/>
      <c r="G41" s="48">
        <f t="shared" si="9"/>
        <v>0</v>
      </c>
      <c r="H41" s="56"/>
    </row>
    <row r="42" ht="30" customHeight="1">
      <c r="A42" s="54"/>
      <c r="B42" s="54"/>
      <c r="C42" s="54"/>
      <c r="D42" s="54"/>
      <c r="E42" s="55"/>
      <c r="F42" s="54"/>
      <c r="G42" s="48">
        <f t="shared" si="9"/>
        <v>0</v>
      </c>
      <c r="H42" s="56"/>
    </row>
    <row r="43" ht="30" customHeight="1">
      <c r="A43" s="54"/>
      <c r="B43" s="54"/>
      <c r="C43" s="54"/>
      <c r="D43" s="54"/>
      <c r="E43" s="55"/>
      <c r="F43" s="54"/>
      <c r="G43" s="48">
        <f t="shared" si="9"/>
        <v>0</v>
      </c>
      <c r="H43" s="56"/>
    </row>
    <row r="44" ht="30" customHeight="1">
      <c r="A44" s="54"/>
      <c r="B44" s="54"/>
      <c r="C44" s="54"/>
      <c r="D44" s="54"/>
      <c r="E44" s="55"/>
      <c r="F44" s="54"/>
      <c r="G44" s="48">
        <f t="shared" si="9"/>
        <v>0</v>
      </c>
      <c r="H44" s="56"/>
    </row>
    <row r="45" ht="30" customHeight="1">
      <c r="A45" s="54"/>
      <c r="B45" s="54"/>
      <c r="C45" s="54"/>
      <c r="D45" s="54"/>
      <c r="E45" s="55"/>
      <c r="F45" s="54"/>
      <c r="G45" s="48">
        <f t="shared" si="9"/>
        <v>0</v>
      </c>
      <c r="H45" s="56"/>
    </row>
    <row r="46" ht="30" customHeight="1">
      <c r="A46" s="54"/>
      <c r="B46" s="54"/>
      <c r="C46" s="54"/>
      <c r="D46" s="54"/>
      <c r="E46" s="55"/>
      <c r="F46" s="54"/>
      <c r="G46" s="48">
        <f t="shared" si="9"/>
        <v>0</v>
      </c>
      <c r="H46" s="56"/>
    </row>
    <row r="47" ht="30" customHeight="1">
      <c r="A47" s="54"/>
      <c r="B47" s="54"/>
      <c r="C47" s="54"/>
      <c r="D47" s="54"/>
      <c r="E47" s="55"/>
      <c r="F47" s="54"/>
      <c r="G47" s="48">
        <f t="shared" si="9"/>
        <v>0</v>
      </c>
      <c r="H47" s="56"/>
    </row>
    <row r="48" ht="30" customHeight="1">
      <c r="A48" s="54"/>
      <c r="B48" s="54"/>
      <c r="C48" s="54"/>
      <c r="D48" s="54"/>
      <c r="E48" s="55"/>
      <c r="F48" s="54"/>
      <c r="G48" s="48">
        <f t="shared" si="9"/>
        <v>0</v>
      </c>
      <c r="H48" s="56"/>
    </row>
    <row r="49" ht="30" customHeight="1">
      <c r="A49" s="54"/>
      <c r="B49" s="54"/>
      <c r="C49" s="54"/>
      <c r="D49" s="54"/>
      <c r="E49" s="55"/>
      <c r="F49" s="54"/>
      <c r="G49" s="48">
        <f t="shared" si="9"/>
        <v>0</v>
      </c>
      <c r="H49" s="56"/>
    </row>
    <row r="50" ht="30" customHeight="1">
      <c r="A50" s="54"/>
      <c r="B50" s="54"/>
      <c r="C50" s="54"/>
      <c r="D50" s="54"/>
      <c r="E50" s="55"/>
      <c r="F50" s="54"/>
      <c r="G50" s="48">
        <f t="shared" si="9"/>
        <v>0</v>
      </c>
      <c r="H50" s="56"/>
    </row>
    <row r="51" ht="30" customHeight="1">
      <c r="A51" s="62"/>
      <c r="B51" s="62"/>
      <c r="C51" s="62"/>
      <c r="D51" s="63" t="s">
        <v>29</v>
      </c>
      <c r="E51" s="63">
        <f>SUM(E29:E50)</f>
        <v>0</v>
      </c>
      <c r="F51" s="63">
        <f t="shared" ref="F51:G77" si="10">SUM(F29:F50)</f>
        <v>0</v>
      </c>
      <c r="G51" s="64">
        <f t="shared" si="10"/>
        <v>0</v>
      </c>
      <c r="H51" s="62"/>
    </row>
    <row r="52" ht="30" customHeight="1">
      <c r="A52" s="65"/>
      <c r="B52" s="65"/>
      <c r="C52" s="65"/>
      <c r="D52" s="65"/>
      <c r="E52" s="65"/>
      <c r="F52" s="65"/>
      <c r="G52" s="65"/>
      <c r="H52" s="65"/>
    </row>
    <row r="53" ht="30" customHeight="1">
      <c r="A53" s="66" t="s">
        <v>31</v>
      </c>
      <c r="B53" s="66"/>
      <c r="C53" s="66"/>
      <c r="D53" s="66"/>
      <c r="E53" s="66"/>
      <c r="F53" s="66"/>
      <c r="G53" s="66"/>
      <c r="H53" s="66"/>
    </row>
    <row r="54" ht="30" customHeight="1">
      <c r="A54" s="12" t="s">
        <v>10</v>
      </c>
      <c r="B54" s="11"/>
      <c r="C54" s="47" t="s">
        <v>12</v>
      </c>
      <c r="D54" s="48" t="s">
        <v>13</v>
      </c>
      <c r="E54" s="12" t="s">
        <v>14</v>
      </c>
      <c r="F54" s="48" t="s">
        <v>15</v>
      </c>
      <c r="G54" s="48" t="s">
        <v>36</v>
      </c>
      <c r="H54" s="48" t="s">
        <v>17</v>
      </c>
    </row>
    <row r="55" ht="30" customHeight="1">
      <c r="A55" s="12"/>
      <c r="B55" s="12"/>
      <c r="C55" s="12"/>
      <c r="D55" s="48"/>
      <c r="E55" s="12"/>
      <c r="F55" s="48"/>
      <c r="G55" s="48">
        <f t="shared" ref="G55:G76" si="11">E55*F55</f>
        <v>0</v>
      </c>
      <c r="H55" s="48"/>
    </row>
    <row r="56" ht="30" customHeight="1">
      <c r="A56" s="12"/>
      <c r="B56" s="12"/>
      <c r="C56" s="12"/>
      <c r="D56" s="48"/>
      <c r="E56" s="12"/>
      <c r="F56" s="48"/>
      <c r="G56" s="48">
        <f t="shared" si="11"/>
        <v>0</v>
      </c>
      <c r="H56" s="48"/>
    </row>
    <row r="57" ht="30" customHeight="1">
      <c r="A57" s="12"/>
      <c r="B57" s="12"/>
      <c r="C57" s="12"/>
      <c r="D57" s="48"/>
      <c r="E57" s="12"/>
      <c r="F57" s="48"/>
      <c r="G57" s="48">
        <f t="shared" si="11"/>
        <v>0</v>
      </c>
      <c r="H57" s="48"/>
    </row>
    <row r="58" ht="30" customHeight="1">
      <c r="A58" s="19"/>
      <c r="B58" s="19"/>
      <c r="C58" s="19"/>
      <c r="D58" s="54"/>
      <c r="E58" s="55"/>
      <c r="F58" s="55"/>
      <c r="G58" s="48">
        <f t="shared" si="11"/>
        <v>0</v>
      </c>
      <c r="H58" s="56"/>
    </row>
    <row r="59" ht="30" customHeight="1">
      <c r="A59" s="19"/>
      <c r="B59" s="19"/>
      <c r="C59" s="19"/>
      <c r="D59" s="54"/>
      <c r="E59" s="55"/>
      <c r="F59" s="55"/>
      <c r="G59" s="48">
        <f t="shared" si="11"/>
        <v>0</v>
      </c>
      <c r="H59" s="56"/>
    </row>
    <row r="60" ht="30" customHeight="1">
      <c r="A60" s="19"/>
      <c r="B60" s="19"/>
      <c r="C60" s="19"/>
      <c r="D60" s="54"/>
      <c r="E60" s="55"/>
      <c r="F60" s="55"/>
      <c r="G60" s="48">
        <f t="shared" si="11"/>
        <v>0</v>
      </c>
      <c r="H60" s="56"/>
    </row>
    <row r="61" ht="30" customHeight="1">
      <c r="A61" s="19"/>
      <c r="B61" s="19"/>
      <c r="C61" s="19"/>
      <c r="D61" s="54"/>
      <c r="E61" s="55"/>
      <c r="F61" s="55"/>
      <c r="G61" s="48">
        <f t="shared" si="11"/>
        <v>0</v>
      </c>
      <c r="H61" s="56"/>
    </row>
    <row r="62" ht="30" customHeight="1">
      <c r="A62" s="54"/>
      <c r="B62" s="54"/>
      <c r="C62" s="54"/>
      <c r="D62" s="54"/>
      <c r="E62" s="55"/>
      <c r="F62" s="54"/>
      <c r="G62" s="48">
        <f t="shared" si="11"/>
        <v>0</v>
      </c>
      <c r="H62" s="56"/>
    </row>
    <row r="63" ht="30" customHeight="1">
      <c r="A63" s="54"/>
      <c r="B63" s="54"/>
      <c r="C63" s="54"/>
      <c r="D63" s="54"/>
      <c r="E63" s="54"/>
      <c r="F63" s="54"/>
      <c r="G63" s="48">
        <f t="shared" si="11"/>
        <v>0</v>
      </c>
      <c r="H63" s="56"/>
    </row>
    <row r="64" ht="30" customHeight="1">
      <c r="A64" s="54"/>
      <c r="B64" s="54"/>
      <c r="C64" s="54"/>
      <c r="D64" s="54"/>
      <c r="E64" s="55"/>
      <c r="F64" s="54"/>
      <c r="G64" s="48">
        <f t="shared" si="11"/>
        <v>0</v>
      </c>
      <c r="H64" s="56"/>
    </row>
    <row r="65" ht="30" customHeight="1">
      <c r="A65" s="54"/>
      <c r="B65" s="54"/>
      <c r="C65" s="54"/>
      <c r="D65" s="54"/>
      <c r="E65" s="55"/>
      <c r="F65" s="54"/>
      <c r="G65" s="48">
        <f t="shared" si="11"/>
        <v>0</v>
      </c>
      <c r="H65" s="56"/>
    </row>
    <row r="66" ht="30" customHeight="1">
      <c r="A66" s="54"/>
      <c r="B66" s="54"/>
      <c r="C66" s="54"/>
      <c r="D66" s="54"/>
      <c r="E66" s="55"/>
      <c r="F66" s="54"/>
      <c r="G66" s="48">
        <f t="shared" si="11"/>
        <v>0</v>
      </c>
      <c r="H66" s="56"/>
    </row>
    <row r="67" ht="30" customHeight="1">
      <c r="A67" s="54"/>
      <c r="B67" s="54"/>
      <c r="C67" s="54"/>
      <c r="D67" s="54"/>
      <c r="E67" s="54"/>
      <c r="F67" s="54"/>
      <c r="G67" s="48">
        <f t="shared" si="11"/>
        <v>0</v>
      </c>
      <c r="H67" s="56"/>
    </row>
    <row r="68" ht="30" customHeight="1">
      <c r="A68" s="54"/>
      <c r="B68" s="54"/>
      <c r="C68" s="54"/>
      <c r="D68" s="54"/>
      <c r="E68" s="55"/>
      <c r="F68" s="54"/>
      <c r="G68" s="48">
        <f t="shared" si="11"/>
        <v>0</v>
      </c>
      <c r="H68" s="56"/>
    </row>
    <row r="69" ht="30" customHeight="1">
      <c r="A69" s="54"/>
      <c r="B69" s="54"/>
      <c r="C69" s="54"/>
      <c r="D69" s="54"/>
      <c r="E69" s="55"/>
      <c r="F69" s="54"/>
      <c r="G69" s="48">
        <f t="shared" si="11"/>
        <v>0</v>
      </c>
      <c r="H69" s="56"/>
    </row>
    <row r="70" ht="30" customHeight="1">
      <c r="A70" s="54"/>
      <c r="B70" s="54"/>
      <c r="C70" s="54"/>
      <c r="D70" s="54"/>
      <c r="E70" s="55"/>
      <c r="F70" s="54"/>
      <c r="G70" s="48">
        <f t="shared" si="11"/>
        <v>0</v>
      </c>
      <c r="H70" s="56"/>
    </row>
    <row r="71" ht="30" customHeight="1">
      <c r="A71" s="54"/>
      <c r="B71" s="54"/>
      <c r="C71" s="54"/>
      <c r="D71" s="54"/>
      <c r="E71" s="55"/>
      <c r="F71" s="54"/>
      <c r="G71" s="48">
        <f t="shared" si="11"/>
        <v>0</v>
      </c>
      <c r="H71" s="56"/>
    </row>
    <row r="72" ht="30" customHeight="1">
      <c r="A72" s="54"/>
      <c r="B72" s="54"/>
      <c r="C72" s="54"/>
      <c r="D72" s="54"/>
      <c r="E72" s="55"/>
      <c r="F72" s="54"/>
      <c r="G72" s="48">
        <f t="shared" si="11"/>
        <v>0</v>
      </c>
      <c r="H72" s="56"/>
    </row>
    <row r="73" ht="30" customHeight="1">
      <c r="A73" s="54"/>
      <c r="B73" s="54"/>
      <c r="C73" s="54"/>
      <c r="D73" s="54"/>
      <c r="E73" s="55"/>
      <c r="F73" s="54"/>
      <c r="G73" s="48">
        <f t="shared" si="11"/>
        <v>0</v>
      </c>
      <c r="H73" s="56"/>
    </row>
    <row r="74" ht="30" customHeight="1">
      <c r="A74" s="54"/>
      <c r="B74" s="54"/>
      <c r="C74" s="54"/>
      <c r="D74" s="54"/>
      <c r="E74" s="55"/>
      <c r="F74" s="54"/>
      <c r="G74" s="48">
        <f t="shared" si="11"/>
        <v>0</v>
      </c>
      <c r="H74" s="56"/>
    </row>
    <row r="75" ht="30" customHeight="1">
      <c r="A75" s="54"/>
      <c r="B75" s="54"/>
      <c r="C75" s="54"/>
      <c r="D75" s="54"/>
      <c r="E75" s="55"/>
      <c r="F75" s="54"/>
      <c r="G75" s="48">
        <f t="shared" si="11"/>
        <v>0</v>
      </c>
      <c r="H75" s="56"/>
    </row>
    <row r="76" ht="30" customHeight="1">
      <c r="A76" s="54"/>
      <c r="B76" s="54"/>
      <c r="C76" s="54"/>
      <c r="D76" s="54"/>
      <c r="E76" s="55"/>
      <c r="F76" s="54"/>
      <c r="G76" s="48">
        <f t="shared" si="11"/>
        <v>0</v>
      </c>
      <c r="H76" s="56"/>
    </row>
    <row r="77" ht="30" customHeight="1">
      <c r="A77" s="62"/>
      <c r="B77" s="62"/>
      <c r="C77" s="62"/>
      <c r="D77" s="63" t="s">
        <v>29</v>
      </c>
      <c r="E77" s="63">
        <f>SUM(E55:E76)</f>
        <v>0</v>
      </c>
      <c r="F77" s="63">
        <f t="shared" si="10"/>
        <v>0</v>
      </c>
      <c r="G77" s="64">
        <f t="shared" si="10"/>
        <v>0</v>
      </c>
      <c r="H77" s="62"/>
    </row>
    <row r="78" ht="30" customHeight="1">
      <c r="A78" s="65"/>
      <c r="B78" s="65"/>
      <c r="C78" s="65"/>
      <c r="D78" s="65"/>
      <c r="E78" s="65"/>
      <c r="F78" s="65"/>
      <c r="G78" s="65"/>
      <c r="H78" s="65"/>
    </row>
    <row r="79" ht="30" customHeight="1">
      <c r="A79" s="66" t="s">
        <v>33</v>
      </c>
      <c r="B79" s="66"/>
      <c r="C79" s="66"/>
      <c r="D79" s="66"/>
      <c r="E79" s="66"/>
      <c r="F79" s="66"/>
      <c r="G79" s="66"/>
      <c r="H79" s="66"/>
    </row>
    <row r="80" ht="30" customHeight="1">
      <c r="A80" s="12" t="s">
        <v>10</v>
      </c>
      <c r="B80" s="11"/>
      <c r="C80" s="47" t="s">
        <v>12</v>
      </c>
      <c r="D80" s="48" t="s">
        <v>13</v>
      </c>
      <c r="E80" s="12" t="s">
        <v>14</v>
      </c>
      <c r="F80" s="48" t="s">
        <v>15</v>
      </c>
      <c r="G80" s="48" t="s">
        <v>36</v>
      </c>
      <c r="H80" s="48" t="s">
        <v>17</v>
      </c>
    </row>
    <row r="81" ht="30" customHeight="1">
      <c r="A81" s="12"/>
      <c r="B81" s="12"/>
      <c r="C81" s="12"/>
      <c r="D81" s="48"/>
      <c r="E81" s="12"/>
      <c r="F81" s="48"/>
      <c r="G81" s="48">
        <f t="shared" ref="G81:G102" si="12">E81*F81</f>
        <v>0</v>
      </c>
      <c r="H81" s="48"/>
    </row>
    <row r="82" ht="30" customHeight="1">
      <c r="A82" s="12"/>
      <c r="B82" s="12"/>
      <c r="C82" s="12"/>
      <c r="D82" s="48"/>
      <c r="E82" s="12"/>
      <c r="F82" s="48"/>
      <c r="G82" s="48">
        <f t="shared" si="12"/>
        <v>0</v>
      </c>
      <c r="H82" s="48"/>
    </row>
    <row r="83" ht="30" customHeight="1">
      <c r="A83" s="12"/>
      <c r="B83" s="12"/>
      <c r="C83" s="12"/>
      <c r="D83" s="48"/>
      <c r="E83" s="12"/>
      <c r="F83" s="48"/>
      <c r="G83" s="48">
        <f t="shared" si="12"/>
        <v>0</v>
      </c>
      <c r="H83" s="48"/>
    </row>
    <row r="84" ht="30" customHeight="1">
      <c r="A84" s="19"/>
      <c r="B84" s="19"/>
      <c r="C84" s="19"/>
      <c r="D84" s="54"/>
      <c r="E84" s="55"/>
      <c r="F84" s="55"/>
      <c r="G84" s="48">
        <f t="shared" si="12"/>
        <v>0</v>
      </c>
      <c r="H84" s="56"/>
    </row>
    <row r="85" ht="30" customHeight="1">
      <c r="A85" s="19"/>
      <c r="B85" s="19"/>
      <c r="C85" s="19"/>
      <c r="D85" s="54"/>
      <c r="E85" s="55"/>
      <c r="F85" s="55"/>
      <c r="G85" s="48">
        <f t="shared" si="12"/>
        <v>0</v>
      </c>
      <c r="H85" s="56"/>
    </row>
    <row r="86" ht="30" customHeight="1">
      <c r="A86" s="19"/>
      <c r="B86" s="19"/>
      <c r="C86" s="19"/>
      <c r="D86" s="54"/>
      <c r="E86" s="55"/>
      <c r="F86" s="55"/>
      <c r="G86" s="48">
        <f t="shared" si="12"/>
        <v>0</v>
      </c>
      <c r="H86" s="56"/>
    </row>
    <row r="87" ht="30" customHeight="1">
      <c r="A87" s="19"/>
      <c r="B87" s="19"/>
      <c r="C87" s="19"/>
      <c r="D87" s="54"/>
      <c r="E87" s="55"/>
      <c r="F87" s="55"/>
      <c r="G87" s="48">
        <f t="shared" si="12"/>
        <v>0</v>
      </c>
      <c r="H87" s="56"/>
    </row>
    <row r="88" ht="30" customHeight="1">
      <c r="A88" s="54"/>
      <c r="B88" s="54"/>
      <c r="C88" s="54"/>
      <c r="D88" s="54"/>
      <c r="E88" s="55"/>
      <c r="F88" s="54"/>
      <c r="G88" s="48">
        <f t="shared" si="12"/>
        <v>0</v>
      </c>
      <c r="H88" s="56"/>
    </row>
    <row r="89" ht="30" customHeight="1">
      <c r="A89" s="54"/>
      <c r="B89" s="54"/>
      <c r="C89" s="54"/>
      <c r="D89" s="54"/>
      <c r="E89" s="54"/>
      <c r="F89" s="54"/>
      <c r="G89" s="48">
        <f t="shared" si="12"/>
        <v>0</v>
      </c>
      <c r="H89" s="56"/>
    </row>
    <row r="90" ht="30" customHeight="1">
      <c r="A90" s="54"/>
      <c r="B90" s="54"/>
      <c r="C90" s="54"/>
      <c r="D90" s="54"/>
      <c r="E90" s="55"/>
      <c r="F90" s="54"/>
      <c r="G90" s="48">
        <f t="shared" si="12"/>
        <v>0</v>
      </c>
      <c r="H90" s="56"/>
    </row>
    <row r="91" ht="30" customHeight="1">
      <c r="A91" s="54"/>
      <c r="B91" s="54"/>
      <c r="C91" s="54"/>
      <c r="D91" s="54"/>
      <c r="E91" s="55"/>
      <c r="F91" s="54"/>
      <c r="G91" s="48">
        <f t="shared" si="12"/>
        <v>0</v>
      </c>
      <c r="H91" s="56"/>
    </row>
    <row r="92" ht="30" customHeight="1">
      <c r="A92" s="54"/>
      <c r="B92" s="54"/>
      <c r="C92" s="54"/>
      <c r="D92" s="54"/>
      <c r="E92" s="55"/>
      <c r="F92" s="54"/>
      <c r="G92" s="48">
        <f t="shared" si="12"/>
        <v>0</v>
      </c>
      <c r="H92" s="56"/>
    </row>
    <row r="93" ht="30" customHeight="1">
      <c r="A93" s="54"/>
      <c r="B93" s="54"/>
      <c r="C93" s="54"/>
      <c r="D93" s="54"/>
      <c r="E93" s="54"/>
      <c r="F93" s="54"/>
      <c r="G93" s="48">
        <f t="shared" si="12"/>
        <v>0</v>
      </c>
      <c r="H93" s="56"/>
    </row>
    <row r="94" ht="30" customHeight="1">
      <c r="A94" s="54"/>
      <c r="B94" s="54"/>
      <c r="C94" s="54"/>
      <c r="D94" s="54"/>
      <c r="E94" s="55"/>
      <c r="F94" s="54"/>
      <c r="G94" s="48">
        <f t="shared" si="12"/>
        <v>0</v>
      </c>
      <c r="H94" s="56"/>
    </row>
    <row r="95" ht="30" customHeight="1">
      <c r="A95" s="54"/>
      <c r="B95" s="54"/>
      <c r="C95" s="54"/>
      <c r="D95" s="54"/>
      <c r="E95" s="55"/>
      <c r="F95" s="54"/>
      <c r="G95" s="48">
        <f t="shared" si="12"/>
        <v>0</v>
      </c>
      <c r="H95" s="56"/>
    </row>
    <row r="96" ht="30" customHeight="1">
      <c r="A96" s="54"/>
      <c r="B96" s="54"/>
      <c r="C96" s="54"/>
      <c r="D96" s="54"/>
      <c r="E96" s="55"/>
      <c r="F96" s="54"/>
      <c r="G96" s="48">
        <f t="shared" si="12"/>
        <v>0</v>
      </c>
      <c r="H96" s="56"/>
    </row>
    <row r="97" ht="30" customHeight="1">
      <c r="A97" s="54"/>
      <c r="B97" s="54"/>
      <c r="C97" s="54"/>
      <c r="D97" s="54"/>
      <c r="E97" s="55"/>
      <c r="F97" s="54"/>
      <c r="G97" s="48">
        <f t="shared" si="12"/>
        <v>0</v>
      </c>
      <c r="H97" s="56"/>
    </row>
    <row r="98" ht="30" customHeight="1">
      <c r="A98" s="54"/>
      <c r="B98" s="54"/>
      <c r="C98" s="54"/>
      <c r="D98" s="54"/>
      <c r="E98" s="55"/>
      <c r="F98" s="54"/>
      <c r="G98" s="48">
        <f t="shared" si="12"/>
        <v>0</v>
      </c>
      <c r="H98" s="56"/>
    </row>
    <row r="99" ht="30" customHeight="1">
      <c r="A99" s="54"/>
      <c r="B99" s="54"/>
      <c r="C99" s="54"/>
      <c r="D99" s="54"/>
      <c r="E99" s="55"/>
      <c r="F99" s="54"/>
      <c r="G99" s="48">
        <f t="shared" si="12"/>
        <v>0</v>
      </c>
      <c r="H99" s="56"/>
    </row>
    <row r="100" ht="30" customHeight="1">
      <c r="A100" s="54"/>
      <c r="B100" s="54"/>
      <c r="C100" s="54"/>
      <c r="D100" s="54"/>
      <c r="E100" s="55"/>
      <c r="F100" s="54"/>
      <c r="G100" s="48">
        <f t="shared" si="12"/>
        <v>0</v>
      </c>
      <c r="H100" s="56"/>
    </row>
    <row r="101" ht="30" customHeight="1">
      <c r="A101" s="54"/>
      <c r="B101" s="54"/>
      <c r="C101" s="54"/>
      <c r="D101" s="54"/>
      <c r="E101" s="55"/>
      <c r="F101" s="54"/>
      <c r="G101" s="48">
        <f t="shared" si="12"/>
        <v>0</v>
      </c>
      <c r="H101" s="56"/>
    </row>
    <row r="102" ht="30" customHeight="1">
      <c r="A102" s="54"/>
      <c r="B102" s="54"/>
      <c r="C102" s="54"/>
      <c r="D102" s="54"/>
      <c r="E102" s="55"/>
      <c r="F102" s="54"/>
      <c r="G102" s="48">
        <f t="shared" si="12"/>
        <v>0</v>
      </c>
      <c r="H102" s="56"/>
    </row>
    <row r="103" ht="30" customHeight="1">
      <c r="A103" s="62"/>
      <c r="B103" s="62"/>
      <c r="C103" s="62"/>
      <c r="D103" s="63" t="s">
        <v>29</v>
      </c>
      <c r="E103" s="63">
        <f>SUM(E81:E102)</f>
        <v>0</v>
      </c>
      <c r="F103" s="63">
        <f t="shared" ref="F103:G103" si="13">SUM(F81:F102)</f>
        <v>0</v>
      </c>
      <c r="G103" s="64">
        <f t="shared" si="13"/>
        <v>0</v>
      </c>
      <c r="H103" s="62"/>
    </row>
    <row r="104" ht="30" customHeight="1">
      <c r="A104" s="65"/>
      <c r="B104" s="65"/>
      <c r="C104" s="65"/>
      <c r="D104" s="65"/>
      <c r="E104" s="65"/>
      <c r="F104" s="65"/>
      <c r="G104" s="65"/>
      <c r="H104" s="65"/>
    </row>
    <row r="105" ht="30" customHeight="1">
      <c r="A105" s="66" t="s">
        <v>34</v>
      </c>
      <c r="B105" s="66"/>
      <c r="C105" s="66"/>
      <c r="D105" s="66"/>
      <c r="E105" s="66"/>
      <c r="F105" s="66"/>
      <c r="G105" s="66"/>
      <c r="H105" s="66"/>
    </row>
    <row r="106" ht="30" customHeight="1">
      <c r="A106" s="12" t="s">
        <v>10</v>
      </c>
      <c r="B106" s="11"/>
      <c r="C106" s="47" t="s">
        <v>12</v>
      </c>
      <c r="D106" s="48" t="s">
        <v>13</v>
      </c>
      <c r="E106" s="12" t="s">
        <v>14</v>
      </c>
      <c r="F106" s="48" t="s">
        <v>15</v>
      </c>
      <c r="G106" s="48" t="s">
        <v>16</v>
      </c>
      <c r="H106" s="48" t="s">
        <v>17</v>
      </c>
    </row>
    <row r="107" ht="30" customHeight="1">
      <c r="A107" s="12"/>
      <c r="B107" s="12"/>
      <c r="C107" s="12"/>
      <c r="D107" s="48"/>
      <c r="E107" s="12"/>
      <c r="F107" s="48"/>
      <c r="G107" s="48">
        <f t="shared" ref="G107:G128" si="14">E107*F107</f>
        <v>0</v>
      </c>
      <c r="H107" s="48"/>
    </row>
    <row r="108" ht="30" customHeight="1">
      <c r="A108" s="12"/>
      <c r="B108" s="12"/>
      <c r="C108" s="12"/>
      <c r="D108" s="48"/>
      <c r="E108" s="12"/>
      <c r="F108" s="48"/>
      <c r="G108" s="48">
        <f t="shared" si="14"/>
        <v>0</v>
      </c>
      <c r="H108" s="48"/>
    </row>
    <row r="109" ht="30" customHeight="1">
      <c r="A109" s="12"/>
      <c r="B109" s="12"/>
      <c r="C109" s="12"/>
      <c r="D109" s="48"/>
      <c r="E109" s="12"/>
      <c r="F109" s="48"/>
      <c r="G109" s="48">
        <f t="shared" si="14"/>
        <v>0</v>
      </c>
      <c r="H109" s="48"/>
    </row>
    <row r="110" ht="30" customHeight="1">
      <c r="A110" s="19"/>
      <c r="B110" s="19"/>
      <c r="C110" s="19"/>
      <c r="D110" s="54"/>
      <c r="E110" s="55"/>
      <c r="F110" s="55"/>
      <c r="G110" s="48">
        <f t="shared" si="14"/>
        <v>0</v>
      </c>
      <c r="H110" s="56"/>
    </row>
    <row r="111" ht="30" customHeight="1">
      <c r="A111" s="19"/>
      <c r="B111" s="19"/>
      <c r="C111" s="19"/>
      <c r="D111" s="54"/>
      <c r="E111" s="55"/>
      <c r="F111" s="55"/>
      <c r="G111" s="48">
        <f t="shared" si="14"/>
        <v>0</v>
      </c>
      <c r="H111" s="56"/>
    </row>
    <row r="112" ht="30" customHeight="1">
      <c r="A112" s="19"/>
      <c r="B112" s="19"/>
      <c r="C112" s="19"/>
      <c r="D112" s="54"/>
      <c r="E112" s="55"/>
      <c r="F112" s="55"/>
      <c r="G112" s="48">
        <f t="shared" si="14"/>
        <v>0</v>
      </c>
      <c r="H112" s="56"/>
    </row>
    <row r="113" ht="30" customHeight="1">
      <c r="A113" s="19"/>
      <c r="B113" s="19"/>
      <c r="C113" s="19"/>
      <c r="D113" s="54"/>
      <c r="E113" s="55"/>
      <c r="F113" s="55"/>
      <c r="G113" s="48">
        <f t="shared" si="14"/>
        <v>0</v>
      </c>
      <c r="H113" s="56"/>
    </row>
    <row r="114" ht="30" customHeight="1">
      <c r="A114" s="54"/>
      <c r="B114" s="54"/>
      <c r="C114" s="54"/>
      <c r="D114" s="54"/>
      <c r="E114" s="55"/>
      <c r="F114" s="54"/>
      <c r="G114" s="48">
        <f t="shared" si="14"/>
        <v>0</v>
      </c>
      <c r="H114" s="56"/>
    </row>
    <row r="115" ht="30" customHeight="1">
      <c r="A115" s="54"/>
      <c r="B115" s="54"/>
      <c r="C115" s="54"/>
      <c r="D115" s="54"/>
      <c r="E115" s="54"/>
      <c r="F115" s="54"/>
      <c r="G115" s="48">
        <f t="shared" si="14"/>
        <v>0</v>
      </c>
      <c r="H115" s="56"/>
    </row>
    <row r="116" ht="30" customHeight="1">
      <c r="A116" s="54"/>
      <c r="B116" s="54"/>
      <c r="C116" s="54"/>
      <c r="D116" s="54"/>
      <c r="E116" s="55"/>
      <c r="F116" s="54"/>
      <c r="G116" s="48">
        <f t="shared" si="14"/>
        <v>0</v>
      </c>
      <c r="H116" s="56"/>
    </row>
    <row r="117" ht="30" customHeight="1">
      <c r="A117" s="54"/>
      <c r="B117" s="54"/>
      <c r="C117" s="54"/>
      <c r="D117" s="54"/>
      <c r="E117" s="55"/>
      <c r="F117" s="54"/>
      <c r="G117" s="48">
        <f t="shared" si="14"/>
        <v>0</v>
      </c>
      <c r="H117" s="56"/>
    </row>
    <row r="118" ht="30" customHeight="1">
      <c r="A118" s="54"/>
      <c r="B118" s="54"/>
      <c r="C118" s="54"/>
      <c r="D118" s="54"/>
      <c r="E118" s="55"/>
      <c r="F118" s="54"/>
      <c r="G118" s="48">
        <f t="shared" si="14"/>
        <v>0</v>
      </c>
      <c r="H118" s="56"/>
    </row>
    <row r="119" ht="30" customHeight="1">
      <c r="A119" s="54"/>
      <c r="B119" s="54"/>
      <c r="C119" s="54"/>
      <c r="D119" s="54"/>
      <c r="E119" s="54"/>
      <c r="F119" s="54"/>
      <c r="G119" s="48">
        <f t="shared" si="14"/>
        <v>0</v>
      </c>
      <c r="H119" s="56"/>
    </row>
    <row r="120" ht="30" customHeight="1">
      <c r="A120" s="54"/>
      <c r="B120" s="54"/>
      <c r="C120" s="54"/>
      <c r="D120" s="54"/>
      <c r="E120" s="55"/>
      <c r="F120" s="54"/>
      <c r="G120" s="48">
        <f t="shared" si="14"/>
        <v>0</v>
      </c>
      <c r="H120" s="56"/>
    </row>
    <row r="121" ht="30" customHeight="1">
      <c r="A121" s="54"/>
      <c r="B121" s="54"/>
      <c r="C121" s="54"/>
      <c r="D121" s="54"/>
      <c r="E121" s="55"/>
      <c r="F121" s="54"/>
      <c r="G121" s="48">
        <f t="shared" si="14"/>
        <v>0</v>
      </c>
      <c r="H121" s="56"/>
    </row>
    <row r="122" ht="30" customHeight="1">
      <c r="A122" s="54"/>
      <c r="B122" s="54"/>
      <c r="C122" s="54"/>
      <c r="D122" s="54"/>
      <c r="E122" s="55"/>
      <c r="F122" s="54"/>
      <c r="G122" s="48">
        <f t="shared" si="14"/>
        <v>0</v>
      </c>
      <c r="H122" s="56"/>
    </row>
    <row r="123" ht="30" customHeight="1">
      <c r="A123" s="54"/>
      <c r="B123" s="54"/>
      <c r="C123" s="54"/>
      <c r="D123" s="54"/>
      <c r="E123" s="55"/>
      <c r="F123" s="54"/>
      <c r="G123" s="48">
        <f t="shared" si="14"/>
        <v>0</v>
      </c>
      <c r="H123" s="56"/>
    </row>
    <row r="124" ht="30" customHeight="1">
      <c r="A124" s="54"/>
      <c r="B124" s="54"/>
      <c r="C124" s="54"/>
      <c r="D124" s="54"/>
      <c r="E124" s="55"/>
      <c r="F124" s="54"/>
      <c r="G124" s="48">
        <f t="shared" si="14"/>
        <v>0</v>
      </c>
      <c r="H124" s="56"/>
    </row>
    <row r="125" ht="30" customHeight="1">
      <c r="A125" s="54"/>
      <c r="B125" s="54"/>
      <c r="C125" s="54"/>
      <c r="D125" s="54"/>
      <c r="E125" s="55"/>
      <c r="F125" s="54"/>
      <c r="G125" s="48">
        <f t="shared" si="14"/>
        <v>0</v>
      </c>
      <c r="H125" s="56"/>
    </row>
    <row r="126" ht="30" customHeight="1">
      <c r="A126" s="54"/>
      <c r="B126" s="54"/>
      <c r="C126" s="54"/>
      <c r="D126" s="54"/>
      <c r="E126" s="55"/>
      <c r="F126" s="54"/>
      <c r="G126" s="48">
        <f t="shared" si="14"/>
        <v>0</v>
      </c>
      <c r="H126" s="56"/>
    </row>
    <row r="127" ht="30" customHeight="1">
      <c r="A127" s="54"/>
      <c r="B127" s="54"/>
      <c r="C127" s="54"/>
      <c r="D127" s="54"/>
      <c r="E127" s="55"/>
      <c r="F127" s="54"/>
      <c r="G127" s="48">
        <f t="shared" si="14"/>
        <v>0</v>
      </c>
      <c r="H127" s="56"/>
    </row>
    <row r="128" ht="30" customHeight="1">
      <c r="A128" s="54"/>
      <c r="B128" s="54"/>
      <c r="C128" s="54"/>
      <c r="D128" s="54"/>
      <c r="E128" s="55"/>
      <c r="F128" s="54"/>
      <c r="G128" s="48">
        <f t="shared" si="14"/>
        <v>0</v>
      </c>
      <c r="H128" s="56"/>
    </row>
    <row r="129" ht="30" customHeight="1">
      <c r="A129" s="62"/>
      <c r="B129" s="62"/>
      <c r="C129" s="62"/>
      <c r="D129" s="63" t="s">
        <v>29</v>
      </c>
      <c r="E129" s="63">
        <f>SUM(E107:E128)</f>
        <v>0</v>
      </c>
      <c r="F129" s="63">
        <f t="shared" ref="F129:G129" si="15">SUM(F107:F128)</f>
        <v>0</v>
      </c>
      <c r="G129" s="64">
        <f t="shared" si="15"/>
        <v>0</v>
      </c>
      <c r="H129" s="62"/>
      <c r="J129" s="67"/>
      <c r="K129" s="68"/>
    </row>
  </sheetData>
  <mergeCells count="8">
    <mergeCell ref="A1:H1"/>
    <mergeCell ref="K3:L3"/>
    <mergeCell ref="J14:M15"/>
    <mergeCell ref="I23:I24"/>
    <mergeCell ref="A27:H27"/>
    <mergeCell ref="A53:H53"/>
    <mergeCell ref="A79:H79"/>
    <mergeCell ref="A105:H105"/>
  </mergeCells>
  <dataValidations count="1" disablePrompts="0">
    <dataValidation sqref="D3:D24 D29:D50 D55:D76 D81:D102 D107:D128" type="list" allowBlank="1" errorStyle="stop" imeMode="noControl" operator="between" showDropDown="0" showErrorMessage="1" showInputMessage="1">
      <formula1>'данные для выпад списка'!$A$15:$A$18</formula1>
    </dataValidation>
  </dataValidation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uri="{231B7EB2-2AFC-4442-B178-5FFDF5851E7C}">
      <userProtectedRanges>
        <userProtectedRange name="ППсводтабл" sqref="K3:L8">
          <users>
            <user id="1476131511" name="ЦСО Калуга"/>
          </users>
        </userProtectedRange>
        <userProtectedRange name="ППтабл1" sqref="A1:H2">
          <users>
            <user id="1476131511" name="ЦСО Калуга"/>
          </users>
        </userProtectedRange>
        <userProtectedRange name="ППитог1" sqref="A25:H25">
          <users>
            <user id="1476131511" name="ЦСО Калуга"/>
          </users>
        </userProtectedRange>
        <userProtectedRange name="ППтабл2" sqref="A27:H28">
          <users>
            <user id="1476131511" name="ЦСО Калуга"/>
          </users>
        </userProtectedRange>
        <userProtectedRange name="ППитог2" sqref="A51:H51">
          <users>
            <user id="1476131511" name="ЦСО Калуга"/>
          </users>
        </userProtectedRange>
        <userProtectedRange name="ППтабл3" sqref="A53:H54">
          <users>
            <user id="1476131511" name="ЦСО Калуга"/>
          </users>
        </userProtectedRange>
        <userProtectedRange name="ППитог3" sqref="A77:H77">
          <users>
            <user id="1476131511" name="ЦСО Калуга"/>
          </users>
        </userProtectedRange>
        <userProtectedRange name="ППтабл4" sqref="A79:H80">
          <users>
            <user id="1476131511" name="ЦСО Калуга"/>
          </users>
        </userProtectedRange>
        <userProtectedRange name="ППитог4" sqref="A103:H103">
          <users>
            <user id="1476131511" name="ЦСО Калуга"/>
          </users>
        </userProtectedRange>
        <userProtectedRange name="ППтабл5" sqref="A105:H106">
          <users>
            <user id="1476131511" name="ЦСО Калуга"/>
          </users>
        </userProtectedRange>
        <userProtectedRange name="ППитог5" sqref="A129:H129">
          <users>
            <user id="1476131511" name="ЦСО Калуга"/>
          </users>
        </userProtectedRange>
      </userProtectedRange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D1" zoomScale="85" workbookViewId="0">
      <selection activeCell="D3" activeCellId="0" sqref="D3"/>
    </sheetView>
  </sheetViews>
  <sheetFormatPr defaultColWidth="8.85546875" defaultRowHeight="14.25"/>
  <cols>
    <col customWidth="1" min="1" max="1" style="1" width="23.5703125"/>
    <col customWidth="1" min="2" max="2" style="1" width="46.140625"/>
    <col customWidth="1" min="3" max="3" style="1" width="19.140625"/>
    <col customWidth="1" min="4" max="4" style="1" width="47.28515625"/>
    <col customWidth="1" min="5" max="5" style="1" width="23.140625"/>
    <col customWidth="1" min="6" max="6" style="1" width="24.42578125"/>
    <col customWidth="1" min="7" max="7" style="1" width="17.85546875"/>
    <col customWidth="1" min="8" max="8" style="1" width="59.85546875"/>
    <col min="9" max="10" style="1" width="8.85546875"/>
    <col customWidth="1" min="11" max="11" style="1" width="30.85546875"/>
    <col min="12" max="16384" style="1" width="8.85546875"/>
  </cols>
  <sheetData>
    <row r="1" ht="25.899999999999999" customHeight="1">
      <c r="A1" s="69" t="s">
        <v>9</v>
      </c>
      <c r="B1" s="70"/>
      <c r="C1" s="70"/>
      <c r="D1" s="70"/>
      <c r="E1" s="70"/>
      <c r="F1" s="70"/>
      <c r="G1" s="70"/>
      <c r="H1" s="70"/>
    </row>
    <row r="2" ht="74.450000000000003" customHeight="1">
      <c r="A2" s="71" t="s">
        <v>38</v>
      </c>
      <c r="B2" s="71" t="s">
        <v>39</v>
      </c>
      <c r="C2" s="72" t="s">
        <v>40</v>
      </c>
      <c r="D2" s="71" t="s">
        <v>41</v>
      </c>
      <c r="E2" s="73" t="s">
        <v>42</v>
      </c>
      <c r="F2" s="74" t="s">
        <v>43</v>
      </c>
      <c r="G2" s="71" t="s">
        <v>44</v>
      </c>
      <c r="H2" s="71" t="s">
        <v>17</v>
      </c>
    </row>
    <row r="3" ht="30" customHeight="1">
      <c r="A3" s="32"/>
      <c r="B3" s="32"/>
      <c r="C3" s="32"/>
      <c r="D3" s="32"/>
      <c r="E3" s="32"/>
      <c r="F3" s="32"/>
      <c r="G3" s="32"/>
      <c r="H3" s="75"/>
    </row>
    <row r="4" ht="30" customHeight="1">
      <c r="A4" s="75"/>
      <c r="B4" s="75"/>
      <c r="C4" s="75"/>
      <c r="D4" s="75"/>
      <c r="E4" s="75"/>
      <c r="F4" s="32"/>
      <c r="G4" s="75"/>
      <c r="H4" s="75"/>
      <c r="K4" s="49" t="s">
        <v>18</v>
      </c>
      <c r="L4" s="49"/>
    </row>
    <row r="5" ht="30" customHeight="1">
      <c r="A5" s="75"/>
      <c r="B5" s="75"/>
      <c r="C5" s="75"/>
      <c r="D5" s="75"/>
      <c r="E5" s="75"/>
      <c r="F5" s="75"/>
      <c r="G5" s="75"/>
      <c r="H5" s="75"/>
      <c r="K5" s="76" t="s">
        <v>45</v>
      </c>
      <c r="L5" s="77">
        <v>109</v>
      </c>
      <c r="M5" s="78"/>
      <c r="N5" s="78"/>
      <c r="O5" s="78"/>
      <c r="P5" s="79"/>
      <c r="Q5" s="79"/>
    </row>
    <row r="6" ht="30" customHeight="1">
      <c r="A6" s="75"/>
      <c r="B6" s="75"/>
      <c r="C6" s="75"/>
      <c r="D6" s="75"/>
      <c r="E6" s="75"/>
      <c r="F6" s="75"/>
      <c r="G6" s="75"/>
      <c r="H6" s="75"/>
      <c r="K6" s="80" t="s">
        <v>46</v>
      </c>
      <c r="L6" s="81">
        <f>G45+G91+G137+G183+G229</f>
        <v>0</v>
      </c>
    </row>
    <row r="7" ht="30" customHeight="1">
      <c r="A7" s="82"/>
      <c r="B7" s="83"/>
      <c r="C7" s="84"/>
      <c r="D7" s="84"/>
      <c r="E7" s="84"/>
      <c r="F7" s="84"/>
      <c r="G7" s="84"/>
      <c r="H7" s="32"/>
      <c r="K7" s="80" t="s">
        <v>21</v>
      </c>
      <c r="L7" s="85">
        <f>L6/L5*100</f>
        <v>0</v>
      </c>
    </row>
    <row r="8" ht="30" customHeight="1">
      <c r="A8" s="82"/>
      <c r="B8" s="83"/>
      <c r="C8" s="84"/>
      <c r="D8" s="84"/>
      <c r="E8" s="84"/>
      <c r="F8" s="84"/>
      <c r="G8" s="84"/>
      <c r="H8" s="32"/>
      <c r="K8" s="80" t="s">
        <v>22</v>
      </c>
      <c r="L8" s="81">
        <f>L5-L6</f>
        <v>109</v>
      </c>
    </row>
    <row r="9" ht="30" customHeight="1">
      <c r="A9" s="82"/>
      <c r="B9" s="83"/>
      <c r="C9" s="84"/>
      <c r="D9" s="84"/>
      <c r="E9" s="84"/>
      <c r="F9" s="84"/>
      <c r="G9" s="84"/>
      <c r="H9" s="32"/>
      <c r="K9" s="76" t="s">
        <v>23</v>
      </c>
      <c r="L9" s="77">
        <v>10.9</v>
      </c>
    </row>
    <row r="10" ht="30" customHeight="1">
      <c r="A10" s="82"/>
      <c r="B10" s="83"/>
      <c r="C10" s="84"/>
      <c r="D10" s="84"/>
      <c r="E10" s="84"/>
      <c r="F10" s="84"/>
      <c r="G10" s="84"/>
      <c r="H10" s="32"/>
      <c r="K10" s="68"/>
      <c r="L10" s="68"/>
    </row>
    <row r="11" ht="30" customHeight="1">
      <c r="A11" s="86"/>
      <c r="B11" s="83"/>
      <c r="C11" s="84"/>
      <c r="D11" s="84"/>
      <c r="E11" s="84"/>
      <c r="F11" s="83"/>
      <c r="G11" s="83"/>
      <c r="H11" s="32"/>
    </row>
    <row r="12" ht="30" customHeight="1">
      <c r="A12" s="86"/>
      <c r="B12" s="83"/>
      <c r="C12" s="83"/>
      <c r="D12" s="83"/>
      <c r="E12" s="83"/>
      <c r="F12" s="83"/>
      <c r="G12" s="83"/>
      <c r="H12" s="32"/>
    </row>
    <row r="13" ht="30" customHeight="1">
      <c r="A13" s="86"/>
      <c r="B13" s="83"/>
      <c r="C13" s="84"/>
      <c r="D13" s="84"/>
      <c r="E13" s="84"/>
      <c r="F13" s="83"/>
      <c r="G13" s="83"/>
      <c r="H13" s="32"/>
    </row>
    <row r="14" ht="30" customHeight="1">
      <c r="A14" s="86"/>
      <c r="B14" s="83"/>
      <c r="C14" s="84"/>
      <c r="D14" s="84"/>
      <c r="E14" s="84"/>
      <c r="F14" s="83"/>
      <c r="G14" s="83"/>
      <c r="H14" s="32"/>
    </row>
    <row r="15" ht="30" customHeight="1">
      <c r="A15" s="86"/>
      <c r="B15" s="83"/>
      <c r="C15" s="84"/>
      <c r="D15" s="84"/>
      <c r="E15" s="84"/>
      <c r="F15" s="83"/>
      <c r="G15" s="83"/>
      <c r="H15" s="32"/>
      <c r="K15" s="87"/>
    </row>
    <row r="16" ht="30" customHeight="1">
      <c r="A16" s="86"/>
      <c r="B16" s="83"/>
      <c r="C16" s="83"/>
      <c r="D16" s="83"/>
      <c r="E16" s="83"/>
      <c r="F16" s="83"/>
      <c r="G16" s="83"/>
      <c r="H16" s="32"/>
      <c r="K16" s="87"/>
    </row>
    <row r="17" ht="30" customHeight="1">
      <c r="A17" s="86"/>
      <c r="B17" s="83"/>
      <c r="C17" s="84"/>
      <c r="D17" s="84"/>
      <c r="E17" s="84"/>
      <c r="F17" s="83"/>
      <c r="G17" s="83"/>
      <c r="H17" s="32"/>
      <c r="K17" s="87"/>
    </row>
    <row r="18" ht="30" customHeight="1">
      <c r="A18" s="86"/>
      <c r="B18" s="83"/>
      <c r="C18" s="84"/>
      <c r="D18" s="84"/>
      <c r="E18" s="84"/>
      <c r="F18" s="83"/>
      <c r="G18" s="83"/>
      <c r="H18" s="32"/>
      <c r="K18" s="87"/>
    </row>
    <row r="19" ht="30" customHeight="1">
      <c r="A19" s="86"/>
      <c r="B19" s="83"/>
      <c r="C19" s="84"/>
      <c r="D19" s="84"/>
      <c r="E19" s="84"/>
      <c r="F19" s="83"/>
      <c r="G19" s="83"/>
      <c r="H19" s="32"/>
      <c r="K19" s="87"/>
    </row>
    <row r="20" ht="30" customHeight="1">
      <c r="A20" s="86"/>
      <c r="B20" s="83"/>
      <c r="C20" s="84"/>
      <c r="D20" s="84"/>
      <c r="E20" s="84"/>
      <c r="F20" s="83"/>
      <c r="G20" s="83"/>
      <c r="H20" s="32"/>
      <c r="K20" s="87"/>
    </row>
    <row r="21" ht="30" customHeight="1">
      <c r="A21" s="86"/>
      <c r="B21" s="83"/>
      <c r="C21" s="84"/>
      <c r="D21" s="84"/>
      <c r="E21" s="84"/>
      <c r="F21" s="83"/>
      <c r="G21" s="83"/>
      <c r="H21" s="32"/>
      <c r="K21" s="87"/>
    </row>
    <row r="22" ht="30" customHeight="1">
      <c r="A22" s="86"/>
      <c r="B22" s="83"/>
      <c r="C22" s="84"/>
      <c r="D22" s="84"/>
      <c r="E22" s="84"/>
      <c r="F22" s="83"/>
      <c r="G22" s="83"/>
      <c r="H22" s="32"/>
    </row>
    <row r="23" ht="30" customHeight="1">
      <c r="A23" s="88"/>
      <c r="B23" s="83"/>
      <c r="C23" s="84"/>
      <c r="D23" s="84"/>
      <c r="E23" s="84"/>
      <c r="F23" s="83"/>
      <c r="G23" s="83"/>
      <c r="H23" s="32"/>
      <c r="K23" s="87"/>
    </row>
    <row r="24" ht="30" customHeight="1">
      <c r="A24" s="86"/>
      <c r="B24" s="83"/>
      <c r="C24" s="84"/>
      <c r="D24" s="84"/>
      <c r="E24" s="84"/>
      <c r="F24" s="83"/>
      <c r="G24" s="83"/>
      <c r="H24" s="32"/>
      <c r="I24" s="61"/>
    </row>
    <row r="25" ht="30" customHeight="1">
      <c r="A25" s="86"/>
      <c r="B25" s="83"/>
      <c r="C25" s="84"/>
      <c r="D25" s="84"/>
      <c r="E25" s="84"/>
      <c r="F25" s="83"/>
      <c r="G25" s="83"/>
      <c r="H25" s="32"/>
      <c r="I25" s="61"/>
    </row>
    <row r="26" ht="30" customHeight="1">
      <c r="A26" s="86"/>
      <c r="B26" s="83"/>
      <c r="C26" s="84"/>
      <c r="D26" s="84"/>
      <c r="E26" s="84"/>
      <c r="F26" s="83"/>
      <c r="G26" s="83"/>
      <c r="H26" s="35"/>
      <c r="I26" s="37"/>
      <c r="J26" s="37"/>
      <c r="K26" s="37"/>
    </row>
    <row r="27" ht="30" customHeight="1">
      <c r="A27" s="86"/>
      <c r="B27" s="83"/>
      <c r="C27" s="84"/>
      <c r="D27" s="84"/>
      <c r="E27" s="84"/>
      <c r="F27" s="83"/>
      <c r="G27" s="83"/>
      <c r="H27" s="35"/>
      <c r="I27" s="37"/>
      <c r="J27" s="37"/>
      <c r="K27" s="37"/>
    </row>
    <row r="28" ht="30" customHeight="1">
      <c r="A28" s="86"/>
      <c r="B28" s="83"/>
      <c r="C28" s="84"/>
      <c r="D28" s="84"/>
      <c r="E28" s="84"/>
      <c r="F28" s="83"/>
      <c r="G28" s="83"/>
      <c r="H28" s="35"/>
      <c r="I28" s="37"/>
      <c r="J28" s="37"/>
      <c r="K28" s="37"/>
    </row>
    <row r="29" ht="30" customHeight="1">
      <c r="A29" s="86"/>
      <c r="B29" s="83"/>
      <c r="C29" s="83"/>
      <c r="D29" s="83"/>
      <c r="E29" s="83"/>
      <c r="F29" s="83"/>
      <c r="G29" s="83"/>
      <c r="H29" s="35"/>
      <c r="I29" s="37"/>
      <c r="J29" s="37"/>
      <c r="K29" s="37"/>
    </row>
    <row r="30" ht="30" customHeight="1">
      <c r="A30" s="86"/>
      <c r="B30" s="83"/>
      <c r="C30" s="83"/>
      <c r="D30" s="83"/>
      <c r="E30" s="83"/>
      <c r="F30" s="83"/>
      <c r="G30" s="83"/>
      <c r="H30" s="32"/>
      <c r="I30" s="1"/>
      <c r="J30" s="1"/>
      <c r="K30" s="1"/>
    </row>
    <row r="31" ht="30" customHeight="1">
      <c r="A31" s="86"/>
      <c r="B31" s="83"/>
      <c r="C31" s="83"/>
      <c r="D31" s="83"/>
      <c r="E31" s="83"/>
      <c r="F31" s="83"/>
      <c r="G31" s="83"/>
      <c r="H31" s="32"/>
      <c r="I31" s="1"/>
      <c r="J31" s="1"/>
      <c r="K31" s="1"/>
    </row>
    <row r="32" ht="30" customHeight="1">
      <c r="A32" s="86"/>
      <c r="B32" s="83"/>
      <c r="C32" s="83"/>
      <c r="D32" s="83"/>
      <c r="E32" s="83"/>
      <c r="F32" s="83"/>
      <c r="G32" s="83"/>
      <c r="H32" s="32"/>
      <c r="I32" s="1"/>
      <c r="J32" s="1"/>
      <c r="K32" s="1"/>
    </row>
    <row r="33" ht="30" customHeight="1">
      <c r="A33" s="86"/>
      <c r="B33" s="83"/>
      <c r="C33" s="83"/>
      <c r="D33" s="83"/>
      <c r="E33" s="83"/>
      <c r="F33" s="83"/>
      <c r="G33" s="83"/>
      <c r="H33" s="32"/>
      <c r="I33" s="1"/>
      <c r="J33" s="1"/>
      <c r="K33" s="1"/>
    </row>
    <row r="34" ht="30" customHeight="1">
      <c r="A34" s="86"/>
      <c r="B34" s="83"/>
      <c r="C34" s="83"/>
      <c r="D34" s="83"/>
      <c r="E34" s="83"/>
      <c r="F34" s="83"/>
      <c r="G34" s="83"/>
      <c r="H34" s="32"/>
      <c r="I34" s="1"/>
      <c r="J34" s="1"/>
      <c r="K34" s="1"/>
    </row>
    <row r="35" ht="30" customHeight="1">
      <c r="A35" s="86"/>
      <c r="B35" s="83"/>
      <c r="C35" s="83"/>
      <c r="D35" s="83"/>
      <c r="E35" s="83"/>
      <c r="F35" s="83"/>
      <c r="G35" s="83"/>
      <c r="H35" s="32"/>
      <c r="I35" s="1"/>
      <c r="J35" s="1"/>
      <c r="K35" s="1"/>
    </row>
    <row r="36" ht="30" customHeight="1">
      <c r="A36" s="86"/>
      <c r="B36" s="83"/>
      <c r="C36" s="83"/>
      <c r="D36" s="83"/>
      <c r="E36" s="83"/>
      <c r="F36" s="83"/>
      <c r="G36" s="83"/>
      <c r="H36" s="32"/>
      <c r="I36" s="1"/>
      <c r="J36" s="1"/>
      <c r="K36" s="1"/>
    </row>
    <row r="37" ht="30" customHeight="1">
      <c r="A37" s="86"/>
      <c r="B37" s="83"/>
      <c r="C37" s="83"/>
      <c r="D37" s="83"/>
      <c r="E37" s="83"/>
      <c r="F37" s="83"/>
      <c r="G37" s="83"/>
      <c r="H37" s="32"/>
      <c r="I37" s="1"/>
      <c r="J37" s="1"/>
      <c r="K37" s="1"/>
    </row>
    <row r="38" ht="30" customHeight="1">
      <c r="A38" s="86"/>
      <c r="B38" s="83"/>
      <c r="C38" s="83"/>
      <c r="D38" s="83"/>
      <c r="E38" s="83"/>
      <c r="F38" s="83"/>
      <c r="G38" s="83"/>
      <c r="H38" s="35"/>
      <c r="I38" s="37"/>
      <c r="J38" s="37"/>
      <c r="K38" s="37"/>
    </row>
    <row r="39" ht="30" customHeight="1">
      <c r="A39" s="86"/>
      <c r="B39" s="83"/>
      <c r="C39" s="89"/>
      <c r="D39" s="89"/>
      <c r="E39" s="89"/>
      <c r="F39" s="89"/>
      <c r="G39" s="83"/>
      <c r="H39" s="35"/>
      <c r="I39" s="37"/>
      <c r="J39" s="37"/>
      <c r="K39" s="37"/>
    </row>
    <row r="40" ht="30" customHeight="1">
      <c r="A40" s="86"/>
      <c r="B40" s="83"/>
      <c r="C40" s="83"/>
      <c r="D40" s="83"/>
      <c r="E40" s="83"/>
      <c r="F40" s="83"/>
      <c r="G40" s="83"/>
      <c r="H40" s="35"/>
      <c r="I40" s="37"/>
      <c r="J40" s="37"/>
      <c r="K40" s="37"/>
    </row>
    <row r="41" ht="30" customHeight="1">
      <c r="A41" s="86"/>
      <c r="B41" s="83"/>
      <c r="C41" s="83"/>
      <c r="D41" s="83"/>
      <c r="E41" s="83"/>
      <c r="F41" s="83"/>
      <c r="G41" s="83"/>
      <c r="H41" s="35"/>
      <c r="I41" s="37"/>
      <c r="J41" s="37"/>
      <c r="K41" s="37"/>
    </row>
    <row r="42" ht="30" customHeight="1">
      <c r="A42" s="86"/>
      <c r="B42" s="83"/>
      <c r="C42" s="83"/>
      <c r="D42" s="83"/>
      <c r="E42" s="83"/>
      <c r="F42" s="83"/>
      <c r="G42" s="83"/>
      <c r="H42" s="35"/>
      <c r="I42" s="37"/>
      <c r="J42" s="37"/>
      <c r="K42" s="37"/>
    </row>
    <row r="43" ht="30" customHeight="1">
      <c r="A43" s="86"/>
      <c r="B43" s="83"/>
      <c r="C43" s="83"/>
      <c r="D43" s="83"/>
      <c r="E43" s="83"/>
      <c r="F43" s="83"/>
      <c r="G43" s="83"/>
      <c r="H43" s="35"/>
      <c r="I43" s="37"/>
      <c r="J43" s="37"/>
      <c r="K43" s="37"/>
    </row>
    <row r="44" ht="30" customHeight="1">
      <c r="A44" s="86"/>
      <c r="B44" s="83"/>
      <c r="C44" s="83"/>
      <c r="D44" s="83"/>
      <c r="E44" s="83"/>
      <c r="F44" s="83"/>
      <c r="G44" s="83"/>
      <c r="H44" s="35"/>
      <c r="I44" s="37"/>
      <c r="J44" s="37"/>
      <c r="K44" s="37"/>
    </row>
    <row r="45" ht="30" customHeight="1">
      <c r="A45" s="32"/>
      <c r="B45" s="32"/>
      <c r="C45" s="32"/>
      <c r="D45" s="90" t="s">
        <v>29</v>
      </c>
      <c r="E45" s="90">
        <f>SUM(E3:E44)</f>
        <v>0</v>
      </c>
      <c r="F45" s="91"/>
      <c r="G45" s="90">
        <f>SUM(G3:G44)</f>
        <v>0</v>
      </c>
      <c r="H45" s="92"/>
    </row>
    <row r="46" ht="30" customHeight="1">
      <c r="A46" s="10"/>
      <c r="B46" s="10"/>
      <c r="C46" s="10"/>
      <c r="D46" s="10"/>
      <c r="E46" s="10"/>
      <c r="F46" s="10"/>
      <c r="G46" s="10"/>
      <c r="H46" s="10"/>
    </row>
    <row r="47" ht="30" customHeight="1">
      <c r="A47" s="42" t="s">
        <v>30</v>
      </c>
      <c r="B47" s="42"/>
      <c r="C47" s="42"/>
      <c r="D47" s="42"/>
      <c r="E47" s="42"/>
      <c r="F47" s="42"/>
      <c r="G47" s="42"/>
      <c r="H47" s="42"/>
    </row>
    <row r="48" ht="61.899999999999999" customHeight="1">
      <c r="A48" s="71" t="s">
        <v>38</v>
      </c>
      <c r="B48" s="71" t="s">
        <v>39</v>
      </c>
      <c r="C48" s="72" t="s">
        <v>40</v>
      </c>
      <c r="D48" s="71" t="s">
        <v>47</v>
      </c>
      <c r="E48" s="73" t="s">
        <v>42</v>
      </c>
      <c r="F48" s="74" t="s">
        <v>43</v>
      </c>
      <c r="G48" s="71" t="s">
        <v>44</v>
      </c>
      <c r="H48" s="71" t="s">
        <v>17</v>
      </c>
    </row>
    <row r="49" ht="30" customHeight="1">
      <c r="A49" s="75"/>
      <c r="B49" s="75"/>
      <c r="C49" s="75"/>
      <c r="D49" s="75"/>
      <c r="E49" s="75"/>
      <c r="F49" s="75"/>
      <c r="G49" s="75"/>
      <c r="H49" s="75"/>
    </row>
    <row r="50" ht="30" customHeight="1">
      <c r="A50" s="75"/>
      <c r="B50" s="75"/>
      <c r="C50" s="75"/>
      <c r="D50" s="75"/>
      <c r="E50" s="75"/>
      <c r="F50" s="75"/>
      <c r="G50" s="75"/>
      <c r="H50" s="75"/>
    </row>
    <row r="51" ht="30" customHeight="1">
      <c r="A51" s="75"/>
      <c r="B51" s="75"/>
      <c r="C51" s="75"/>
      <c r="D51" s="75"/>
      <c r="E51" s="75"/>
      <c r="F51" s="75"/>
      <c r="G51" s="75"/>
      <c r="H51" s="75"/>
    </row>
    <row r="52" ht="30" customHeight="1">
      <c r="A52" s="82"/>
      <c r="B52" s="83"/>
      <c r="C52" s="84"/>
      <c r="D52" s="84"/>
      <c r="E52" s="84"/>
      <c r="F52" s="84"/>
      <c r="G52" s="84"/>
      <c r="H52" s="32"/>
    </row>
    <row r="53" ht="30" customHeight="1">
      <c r="A53" s="82"/>
      <c r="B53" s="83"/>
      <c r="C53" s="84"/>
      <c r="D53" s="84"/>
      <c r="E53" s="84"/>
      <c r="F53" s="84"/>
      <c r="G53" s="84"/>
      <c r="H53" s="32"/>
    </row>
    <row r="54" ht="30" customHeight="1">
      <c r="A54" s="82"/>
      <c r="B54" s="83"/>
      <c r="C54" s="84"/>
      <c r="D54" s="84"/>
      <c r="E54" s="84"/>
      <c r="F54" s="84"/>
      <c r="G54" s="84"/>
      <c r="H54" s="32"/>
    </row>
    <row r="55" ht="30" customHeight="1">
      <c r="A55" s="82"/>
      <c r="B55" s="83"/>
      <c r="C55" s="84"/>
      <c r="D55" s="84"/>
      <c r="E55" s="84"/>
      <c r="F55" s="84"/>
      <c r="G55" s="84"/>
      <c r="H55" s="32"/>
    </row>
    <row r="56" ht="30" customHeight="1">
      <c r="A56" s="86"/>
      <c r="B56" s="83"/>
      <c r="C56" s="84"/>
      <c r="D56" s="84"/>
      <c r="E56" s="84"/>
      <c r="F56" s="83"/>
      <c r="G56" s="83"/>
      <c r="H56" s="32"/>
    </row>
    <row r="57" ht="30" customHeight="1">
      <c r="A57" s="86"/>
      <c r="B57" s="83"/>
      <c r="C57" s="83"/>
      <c r="D57" s="83"/>
      <c r="E57" s="83"/>
      <c r="F57" s="83"/>
      <c r="G57" s="83"/>
      <c r="H57" s="32"/>
    </row>
    <row r="58" ht="30" customHeight="1">
      <c r="A58" s="86"/>
      <c r="B58" s="83"/>
      <c r="C58" s="84"/>
      <c r="D58" s="84"/>
      <c r="E58" s="84"/>
      <c r="F58" s="83"/>
      <c r="G58" s="83"/>
      <c r="H58" s="32"/>
    </row>
    <row r="59" ht="30" customHeight="1">
      <c r="A59" s="86"/>
      <c r="B59" s="83"/>
      <c r="C59" s="84"/>
      <c r="D59" s="84"/>
      <c r="E59" s="84"/>
      <c r="F59" s="83"/>
      <c r="G59" s="83"/>
      <c r="H59" s="32"/>
    </row>
    <row r="60" ht="30" customHeight="1">
      <c r="A60" s="86"/>
      <c r="B60" s="83"/>
      <c r="C60" s="84"/>
      <c r="D60" s="84"/>
      <c r="E60" s="84"/>
      <c r="F60" s="83"/>
      <c r="G60" s="83"/>
      <c r="H60" s="32"/>
    </row>
    <row r="61" ht="30" customHeight="1">
      <c r="A61" s="86"/>
      <c r="B61" s="83"/>
      <c r="C61" s="83"/>
      <c r="D61" s="83"/>
      <c r="E61" s="83"/>
      <c r="F61" s="83"/>
      <c r="G61" s="83"/>
      <c r="H61" s="32"/>
    </row>
    <row r="62" ht="30" customHeight="1">
      <c r="A62" s="86"/>
      <c r="B62" s="83"/>
      <c r="C62" s="84"/>
      <c r="D62" s="84"/>
      <c r="E62" s="84"/>
      <c r="F62" s="83"/>
      <c r="G62" s="83"/>
      <c r="H62" s="32"/>
    </row>
    <row r="63" ht="30" customHeight="1">
      <c r="A63" s="86"/>
      <c r="B63" s="83"/>
      <c r="C63" s="84"/>
      <c r="D63" s="84"/>
      <c r="E63" s="84"/>
      <c r="F63" s="83"/>
      <c r="G63" s="83"/>
      <c r="H63" s="32"/>
    </row>
    <row r="64" ht="30" customHeight="1">
      <c r="A64" s="86"/>
      <c r="B64" s="83"/>
      <c r="C64" s="84"/>
      <c r="D64" s="84"/>
      <c r="E64" s="84"/>
      <c r="F64" s="83"/>
      <c r="G64" s="83"/>
      <c r="H64" s="32"/>
    </row>
    <row r="65" ht="30" customHeight="1">
      <c r="A65" s="86"/>
      <c r="B65" s="83"/>
      <c r="C65" s="84"/>
      <c r="D65" s="84"/>
      <c r="E65" s="84"/>
      <c r="F65" s="83"/>
      <c r="G65" s="83"/>
      <c r="H65" s="32"/>
    </row>
    <row r="66" ht="30" customHeight="1">
      <c r="A66" s="86"/>
      <c r="B66" s="83"/>
      <c r="C66" s="84"/>
      <c r="D66" s="84"/>
      <c r="E66" s="84"/>
      <c r="F66" s="83"/>
      <c r="G66" s="83"/>
      <c r="H66" s="32"/>
    </row>
    <row r="67" ht="30" customHeight="1">
      <c r="A67" s="86"/>
      <c r="B67" s="83"/>
      <c r="C67" s="84"/>
      <c r="D67" s="84"/>
      <c r="E67" s="84"/>
      <c r="F67" s="83"/>
      <c r="G67" s="83"/>
      <c r="H67" s="32"/>
    </row>
    <row r="68" ht="30" customHeight="1">
      <c r="A68" s="88"/>
      <c r="B68" s="83"/>
      <c r="C68" s="84"/>
      <c r="D68" s="84"/>
      <c r="E68" s="84"/>
      <c r="F68" s="83"/>
      <c r="G68" s="83"/>
      <c r="H68" s="32"/>
    </row>
    <row r="69" ht="30" customHeight="1">
      <c r="A69" s="86"/>
      <c r="B69" s="83"/>
      <c r="C69" s="84"/>
      <c r="D69" s="84"/>
      <c r="E69" s="84"/>
      <c r="F69" s="83"/>
      <c r="G69" s="83"/>
      <c r="H69" s="32"/>
    </row>
    <row r="70" ht="30" customHeight="1">
      <c r="A70" s="86"/>
      <c r="B70" s="83"/>
      <c r="C70" s="84"/>
      <c r="D70" s="84"/>
      <c r="E70" s="84"/>
      <c r="F70" s="83"/>
      <c r="G70" s="83"/>
      <c r="H70" s="32"/>
    </row>
    <row r="71" ht="30" customHeight="1">
      <c r="A71" s="86"/>
      <c r="B71" s="83"/>
      <c r="C71" s="84"/>
      <c r="D71" s="84"/>
      <c r="E71" s="84"/>
      <c r="F71" s="83"/>
      <c r="G71" s="83"/>
      <c r="H71" s="35"/>
    </row>
    <row r="72" ht="30" customHeight="1">
      <c r="A72" s="86"/>
      <c r="B72" s="83"/>
      <c r="C72" s="84"/>
      <c r="D72" s="84"/>
      <c r="E72" s="84"/>
      <c r="F72" s="83"/>
      <c r="G72" s="83"/>
      <c r="H72" s="35"/>
    </row>
    <row r="73" ht="30" customHeight="1">
      <c r="A73" s="86"/>
      <c r="B73" s="83"/>
      <c r="C73" s="84"/>
      <c r="D73" s="84"/>
      <c r="E73" s="84"/>
      <c r="F73" s="83"/>
      <c r="G73" s="83"/>
      <c r="H73" s="35"/>
    </row>
    <row r="74" ht="30" customHeight="1">
      <c r="A74" s="86"/>
      <c r="B74" s="83"/>
      <c r="C74" s="83"/>
      <c r="D74" s="83"/>
      <c r="E74" s="83"/>
      <c r="F74" s="83"/>
      <c r="G74" s="83"/>
      <c r="H74" s="35"/>
    </row>
    <row r="75" ht="30" customHeight="1">
      <c r="A75" s="86"/>
      <c r="B75" s="83"/>
      <c r="C75" s="83"/>
      <c r="D75" s="83"/>
      <c r="E75" s="83"/>
      <c r="F75" s="83"/>
      <c r="G75" s="83"/>
      <c r="H75" s="35"/>
    </row>
    <row r="76" ht="30" customHeight="1">
      <c r="A76" s="86"/>
      <c r="B76" s="83"/>
      <c r="C76" s="83"/>
      <c r="D76" s="83"/>
      <c r="E76" s="83"/>
      <c r="F76" s="83"/>
      <c r="G76" s="83"/>
      <c r="H76" s="35"/>
    </row>
    <row r="77" ht="30" customHeight="1">
      <c r="A77" s="86"/>
      <c r="B77" s="83"/>
      <c r="C77" s="83"/>
      <c r="D77" s="83"/>
      <c r="E77" s="83"/>
      <c r="F77" s="83"/>
      <c r="G77" s="83"/>
      <c r="H77" s="35"/>
    </row>
    <row r="78" ht="30" customHeight="1">
      <c r="A78" s="86"/>
      <c r="B78" s="83"/>
      <c r="C78" s="83"/>
      <c r="D78" s="83"/>
      <c r="E78" s="83"/>
      <c r="F78" s="83"/>
      <c r="G78" s="83"/>
      <c r="H78" s="35"/>
    </row>
    <row r="79" ht="30" customHeight="1">
      <c r="A79" s="86"/>
      <c r="B79" s="83"/>
      <c r="C79" s="83"/>
      <c r="D79" s="83"/>
      <c r="E79" s="83"/>
      <c r="F79" s="83"/>
      <c r="G79" s="83"/>
      <c r="H79" s="35"/>
    </row>
    <row r="80" ht="30" customHeight="1">
      <c r="A80" s="86"/>
      <c r="B80" s="83"/>
      <c r="C80" s="83"/>
      <c r="D80" s="83"/>
      <c r="E80" s="83"/>
      <c r="F80" s="83"/>
      <c r="G80" s="83"/>
      <c r="H80" s="35"/>
    </row>
    <row r="81" ht="30" customHeight="1">
      <c r="A81" s="86"/>
      <c r="B81" s="83"/>
      <c r="C81" s="83"/>
      <c r="D81" s="83"/>
      <c r="E81" s="83"/>
      <c r="F81" s="83"/>
      <c r="G81" s="83"/>
      <c r="H81" s="35"/>
    </row>
    <row r="82" ht="30" customHeight="1">
      <c r="A82" s="86"/>
      <c r="B82" s="83"/>
      <c r="C82" s="83"/>
      <c r="D82" s="83"/>
      <c r="E82" s="83"/>
      <c r="F82" s="83"/>
      <c r="G82" s="83"/>
      <c r="H82" s="35"/>
    </row>
    <row r="83" ht="30" customHeight="1">
      <c r="A83" s="86"/>
      <c r="B83" s="83"/>
      <c r="C83" s="83"/>
      <c r="D83" s="83"/>
      <c r="E83" s="83"/>
      <c r="F83" s="83"/>
      <c r="G83" s="83"/>
      <c r="H83" s="32"/>
    </row>
    <row r="84" ht="30" customHeight="1">
      <c r="A84" s="86"/>
      <c r="B84" s="83"/>
      <c r="C84" s="83"/>
      <c r="D84" s="83"/>
      <c r="E84" s="83"/>
      <c r="F84" s="83"/>
      <c r="G84" s="83"/>
      <c r="H84" s="32"/>
    </row>
    <row r="85" ht="30" customHeight="1">
      <c r="A85" s="86"/>
      <c r="B85" s="83"/>
      <c r="C85" s="83"/>
      <c r="D85" s="83"/>
      <c r="E85" s="83"/>
      <c r="F85" s="83"/>
      <c r="G85" s="83"/>
      <c r="H85" s="35"/>
    </row>
    <row r="86" ht="30" customHeight="1">
      <c r="A86" s="86"/>
      <c r="B86" s="83"/>
      <c r="C86" s="89"/>
      <c r="D86" s="89"/>
      <c r="E86" s="89"/>
      <c r="F86" s="89"/>
      <c r="G86" s="83"/>
      <c r="H86" s="35"/>
    </row>
    <row r="87" ht="30" customHeight="1">
      <c r="A87" s="86"/>
      <c r="B87" s="83"/>
      <c r="C87" s="83"/>
      <c r="D87" s="83"/>
      <c r="E87" s="83"/>
      <c r="F87" s="83"/>
      <c r="G87" s="83"/>
      <c r="H87" s="35"/>
    </row>
    <row r="88" ht="30" customHeight="1">
      <c r="A88" s="86"/>
      <c r="B88" s="83"/>
      <c r="C88" s="83"/>
      <c r="D88" s="83"/>
      <c r="E88" s="83"/>
      <c r="F88" s="83"/>
      <c r="G88" s="83"/>
      <c r="H88" s="35"/>
    </row>
    <row r="89" ht="30" customHeight="1">
      <c r="A89" s="86"/>
      <c r="B89" s="83"/>
      <c r="C89" s="83"/>
      <c r="D89" s="83"/>
      <c r="E89" s="83"/>
      <c r="F89" s="83"/>
      <c r="G89" s="83"/>
      <c r="H89" s="35"/>
    </row>
    <row r="90" ht="30" customHeight="1">
      <c r="A90" s="86"/>
      <c r="B90" s="83"/>
      <c r="C90" s="83"/>
      <c r="D90" s="83"/>
      <c r="E90" s="83"/>
      <c r="F90" s="83"/>
      <c r="G90" s="83"/>
      <c r="H90" s="35"/>
    </row>
    <row r="91" ht="30" customHeight="1">
      <c r="A91" s="32"/>
      <c r="B91" s="32"/>
      <c r="C91" s="32"/>
      <c r="D91" s="90" t="s">
        <v>29</v>
      </c>
      <c r="E91" s="90">
        <f>SUM(E49:E90)</f>
        <v>0</v>
      </c>
      <c r="F91" s="91"/>
      <c r="G91" s="90">
        <f>SUM(G49:G90)</f>
        <v>0</v>
      </c>
      <c r="H91" s="92"/>
    </row>
    <row r="92" ht="30" customHeight="1">
      <c r="A92" s="10"/>
      <c r="B92" s="10"/>
      <c r="C92" s="10"/>
      <c r="D92" s="10"/>
      <c r="E92" s="10"/>
      <c r="F92" s="10"/>
      <c r="G92" s="10"/>
      <c r="H92" s="10"/>
    </row>
    <row r="93" ht="30" customHeight="1">
      <c r="A93" s="42" t="s">
        <v>31</v>
      </c>
      <c r="B93" s="42"/>
      <c r="C93" s="42"/>
      <c r="D93" s="42"/>
      <c r="E93" s="42"/>
      <c r="F93" s="42"/>
      <c r="G93" s="42"/>
      <c r="H93" s="42"/>
    </row>
    <row r="94" ht="66" customHeight="1">
      <c r="A94" s="71" t="s">
        <v>38</v>
      </c>
      <c r="B94" s="71" t="s">
        <v>39</v>
      </c>
      <c r="C94" s="72" t="s">
        <v>40</v>
      </c>
      <c r="D94" s="71" t="s">
        <v>47</v>
      </c>
      <c r="E94" s="73" t="s">
        <v>42</v>
      </c>
      <c r="F94" s="74" t="s">
        <v>43</v>
      </c>
      <c r="G94" s="71" t="s">
        <v>44</v>
      </c>
      <c r="H94" s="71" t="s">
        <v>17</v>
      </c>
    </row>
    <row r="95" ht="44.450000000000003" customHeight="1">
      <c r="A95" s="75"/>
      <c r="B95" s="75"/>
      <c r="C95" s="75"/>
      <c r="D95" s="75"/>
      <c r="E95" s="75"/>
      <c r="F95" s="75"/>
      <c r="G95" s="75"/>
      <c r="H95" s="75"/>
    </row>
    <row r="96" ht="30" customHeight="1">
      <c r="A96" s="75"/>
      <c r="B96" s="75"/>
      <c r="C96" s="75"/>
      <c r="D96" s="75"/>
      <c r="E96" s="75"/>
      <c r="F96" s="75"/>
      <c r="G96" s="75"/>
      <c r="H96" s="75"/>
    </row>
    <row r="97" ht="30" customHeight="1">
      <c r="A97" s="75"/>
      <c r="B97" s="75"/>
      <c r="C97" s="75"/>
      <c r="D97" s="75"/>
      <c r="E97" s="75"/>
      <c r="F97" s="75"/>
      <c r="G97" s="75"/>
      <c r="H97" s="75"/>
    </row>
    <row r="98" ht="30" customHeight="1">
      <c r="A98" s="82"/>
      <c r="B98" s="83"/>
      <c r="C98" s="84"/>
      <c r="D98" s="84"/>
      <c r="E98" s="84"/>
      <c r="F98" s="84"/>
      <c r="G98" s="84"/>
      <c r="H98" s="32"/>
    </row>
    <row r="99" ht="30" customHeight="1">
      <c r="A99" s="82"/>
      <c r="B99" s="83"/>
      <c r="C99" s="84"/>
      <c r="D99" s="84"/>
      <c r="E99" s="84"/>
      <c r="F99" s="84"/>
      <c r="G99" s="84"/>
      <c r="H99" s="32"/>
    </row>
    <row r="100" ht="30" customHeight="1">
      <c r="A100" s="82"/>
      <c r="B100" s="83"/>
      <c r="C100" s="84"/>
      <c r="D100" s="84"/>
      <c r="E100" s="84"/>
      <c r="F100" s="84"/>
      <c r="G100" s="84"/>
      <c r="H100" s="32"/>
    </row>
    <row r="101" ht="30" customHeight="1">
      <c r="A101" s="82"/>
      <c r="B101" s="83"/>
      <c r="C101" s="84"/>
      <c r="D101" s="84"/>
      <c r="E101" s="84"/>
      <c r="F101" s="84"/>
      <c r="G101" s="84"/>
      <c r="H101" s="32"/>
    </row>
    <row r="102" ht="30" customHeight="1">
      <c r="A102" s="86"/>
      <c r="B102" s="83"/>
      <c r="C102" s="84"/>
      <c r="D102" s="84"/>
      <c r="E102" s="84"/>
      <c r="F102" s="83"/>
      <c r="G102" s="83"/>
      <c r="H102" s="32"/>
    </row>
    <row r="103" ht="30" customHeight="1">
      <c r="A103" s="86"/>
      <c r="B103" s="83"/>
      <c r="C103" s="83"/>
      <c r="D103" s="83"/>
      <c r="E103" s="83"/>
      <c r="F103" s="83"/>
      <c r="G103" s="83"/>
      <c r="H103" s="32"/>
    </row>
    <row r="104" ht="30" customHeight="1">
      <c r="A104" s="86"/>
      <c r="B104" s="83"/>
      <c r="C104" s="84"/>
      <c r="D104" s="84"/>
      <c r="E104" s="84"/>
      <c r="F104" s="83"/>
      <c r="G104" s="83"/>
      <c r="H104" s="32"/>
    </row>
    <row r="105" ht="30" customHeight="1">
      <c r="A105" s="86"/>
      <c r="B105" s="83"/>
      <c r="C105" s="84"/>
      <c r="D105" s="84"/>
      <c r="E105" s="84"/>
      <c r="F105" s="83"/>
      <c r="G105" s="83"/>
      <c r="H105" s="32"/>
    </row>
    <row r="106" ht="30" customHeight="1">
      <c r="A106" s="86"/>
      <c r="B106" s="83"/>
      <c r="C106" s="84"/>
      <c r="D106" s="84"/>
      <c r="E106" s="84"/>
      <c r="F106" s="83"/>
      <c r="G106" s="83"/>
      <c r="H106" s="32"/>
    </row>
    <row r="107" ht="30" customHeight="1">
      <c r="A107" s="86"/>
      <c r="B107" s="83"/>
      <c r="C107" s="83"/>
      <c r="D107" s="83"/>
      <c r="E107" s="83"/>
      <c r="F107" s="83"/>
      <c r="G107" s="83"/>
      <c r="H107" s="32"/>
    </row>
    <row r="108" ht="30" customHeight="1">
      <c r="A108" s="86"/>
      <c r="B108" s="83"/>
      <c r="C108" s="84"/>
      <c r="D108" s="84"/>
      <c r="E108" s="84"/>
      <c r="F108" s="83"/>
      <c r="G108" s="83"/>
      <c r="H108" s="32"/>
    </row>
    <row r="109" ht="30" customHeight="1">
      <c r="A109" s="86"/>
      <c r="B109" s="83"/>
      <c r="C109" s="84"/>
      <c r="D109" s="84"/>
      <c r="E109" s="84"/>
      <c r="F109" s="83"/>
      <c r="G109" s="83"/>
      <c r="H109" s="32"/>
    </row>
    <row r="110" ht="30" customHeight="1">
      <c r="A110" s="86"/>
      <c r="B110" s="83"/>
      <c r="C110" s="84"/>
      <c r="D110" s="84"/>
      <c r="E110" s="84"/>
      <c r="F110" s="83"/>
      <c r="G110" s="83"/>
      <c r="H110" s="32"/>
    </row>
    <row r="111" ht="30" customHeight="1">
      <c r="A111" s="86"/>
      <c r="B111" s="83"/>
      <c r="C111" s="84"/>
      <c r="D111" s="84"/>
      <c r="E111" s="84"/>
      <c r="F111" s="83"/>
      <c r="G111" s="83"/>
      <c r="H111" s="32"/>
    </row>
    <row r="112" ht="30" customHeight="1">
      <c r="A112" s="86"/>
      <c r="B112" s="83"/>
      <c r="C112" s="84"/>
      <c r="D112" s="84"/>
      <c r="E112" s="84"/>
      <c r="F112" s="83"/>
      <c r="G112" s="83"/>
      <c r="H112" s="32"/>
    </row>
    <row r="113" ht="30" customHeight="1">
      <c r="A113" s="86"/>
      <c r="B113" s="83"/>
      <c r="C113" s="84"/>
      <c r="D113" s="84"/>
      <c r="E113" s="84"/>
      <c r="F113" s="83"/>
      <c r="G113" s="83"/>
      <c r="H113" s="32"/>
    </row>
    <row r="114" ht="30" customHeight="1">
      <c r="A114" s="88"/>
      <c r="B114" s="83"/>
      <c r="C114" s="84"/>
      <c r="D114" s="84"/>
      <c r="E114" s="84"/>
      <c r="F114" s="83"/>
      <c r="G114" s="83"/>
      <c r="H114" s="32"/>
    </row>
    <row r="115" ht="30" customHeight="1">
      <c r="A115" s="86"/>
      <c r="B115" s="83"/>
      <c r="C115" s="84"/>
      <c r="D115" s="84"/>
      <c r="E115" s="84"/>
      <c r="F115" s="83"/>
      <c r="G115" s="83"/>
      <c r="H115" s="32"/>
    </row>
    <row r="116" ht="30" customHeight="1">
      <c r="A116" s="86"/>
      <c r="B116" s="83"/>
      <c r="C116" s="84"/>
      <c r="D116" s="84"/>
      <c r="E116" s="84"/>
      <c r="F116" s="83"/>
      <c r="G116" s="83"/>
      <c r="H116" s="32"/>
    </row>
    <row r="117" ht="30" customHeight="1">
      <c r="A117" s="86"/>
      <c r="B117" s="83"/>
      <c r="C117" s="84"/>
      <c r="D117" s="84"/>
      <c r="E117" s="84"/>
      <c r="F117" s="83"/>
      <c r="G117" s="83"/>
      <c r="H117" s="35"/>
    </row>
    <row r="118" ht="30" customHeight="1">
      <c r="A118" s="86"/>
      <c r="B118" s="83"/>
      <c r="C118" s="84"/>
      <c r="D118" s="84"/>
      <c r="E118" s="84"/>
      <c r="F118" s="83"/>
      <c r="G118" s="83"/>
      <c r="H118" s="35"/>
    </row>
    <row r="119" ht="30" customHeight="1">
      <c r="A119" s="86"/>
      <c r="B119" s="83"/>
      <c r="C119" s="84"/>
      <c r="D119" s="84"/>
      <c r="E119" s="84"/>
      <c r="F119" s="83"/>
      <c r="G119" s="83"/>
      <c r="H119" s="35"/>
    </row>
    <row r="120" ht="30" customHeight="1">
      <c r="A120" s="86"/>
      <c r="B120" s="83"/>
      <c r="C120" s="83"/>
      <c r="D120" s="83"/>
      <c r="E120" s="83"/>
      <c r="F120" s="83"/>
      <c r="G120" s="83"/>
      <c r="H120" s="35"/>
    </row>
    <row r="121" ht="30" customHeight="1">
      <c r="A121" s="86"/>
      <c r="B121" s="83"/>
      <c r="C121" s="83"/>
      <c r="D121" s="83"/>
      <c r="E121" s="83"/>
      <c r="F121" s="83"/>
      <c r="G121" s="83"/>
      <c r="H121" s="35"/>
    </row>
    <row r="122" ht="30" customHeight="1">
      <c r="A122" s="86"/>
      <c r="B122" s="83"/>
      <c r="C122" s="83"/>
      <c r="D122" s="83"/>
      <c r="E122" s="83"/>
      <c r="F122" s="83"/>
      <c r="G122" s="83"/>
      <c r="H122" s="35"/>
    </row>
    <row r="123" ht="30" customHeight="1">
      <c r="A123" s="86"/>
      <c r="B123" s="83"/>
      <c r="C123" s="83"/>
      <c r="D123" s="83"/>
      <c r="E123" s="83"/>
      <c r="F123" s="83"/>
      <c r="G123" s="83"/>
      <c r="H123" s="35"/>
    </row>
    <row r="124" ht="30" customHeight="1">
      <c r="A124" s="86"/>
      <c r="B124" s="83"/>
      <c r="C124" s="83"/>
      <c r="D124" s="83"/>
      <c r="E124" s="83"/>
      <c r="F124" s="83"/>
      <c r="G124" s="83"/>
      <c r="H124" s="35"/>
    </row>
    <row r="125" ht="30" customHeight="1">
      <c r="A125" s="86"/>
      <c r="B125" s="83"/>
      <c r="C125" s="83"/>
      <c r="D125" s="83"/>
      <c r="E125" s="83"/>
      <c r="F125" s="83"/>
      <c r="G125" s="83"/>
      <c r="H125" s="35"/>
    </row>
    <row r="126" ht="30" customHeight="1">
      <c r="A126" s="86"/>
      <c r="B126" s="83"/>
      <c r="C126" s="83"/>
      <c r="D126" s="83"/>
      <c r="E126" s="83"/>
      <c r="F126" s="83"/>
      <c r="G126" s="83"/>
      <c r="H126" s="35"/>
    </row>
    <row r="127" ht="30" customHeight="1">
      <c r="A127" s="86"/>
      <c r="B127" s="83"/>
      <c r="C127" s="83"/>
      <c r="D127" s="83"/>
      <c r="E127" s="83"/>
      <c r="F127" s="83"/>
      <c r="G127" s="83"/>
      <c r="H127" s="35"/>
    </row>
    <row r="128" ht="30" customHeight="1">
      <c r="A128" s="86"/>
      <c r="B128" s="83"/>
      <c r="C128" s="83"/>
      <c r="D128" s="83"/>
      <c r="E128" s="83"/>
      <c r="F128" s="83"/>
      <c r="G128" s="83"/>
      <c r="H128" s="35"/>
    </row>
    <row r="129" ht="30" customHeight="1">
      <c r="A129" s="86"/>
      <c r="B129" s="83"/>
      <c r="C129" s="83"/>
      <c r="D129" s="83"/>
      <c r="E129" s="83"/>
      <c r="F129" s="83"/>
      <c r="G129" s="83"/>
      <c r="H129" s="32"/>
    </row>
    <row r="130" ht="30" customHeight="1">
      <c r="A130" s="86"/>
      <c r="B130" s="83"/>
      <c r="C130" s="83"/>
      <c r="D130" s="83"/>
      <c r="E130" s="83"/>
      <c r="F130" s="83"/>
      <c r="G130" s="83"/>
      <c r="H130" s="32"/>
    </row>
    <row r="131" ht="30" customHeight="1">
      <c r="A131" s="86"/>
      <c r="B131" s="83"/>
      <c r="C131" s="83"/>
      <c r="D131" s="83"/>
      <c r="E131" s="83"/>
      <c r="F131" s="83"/>
      <c r="G131" s="83"/>
      <c r="H131" s="35"/>
    </row>
    <row r="132" ht="30" customHeight="1">
      <c r="A132" s="86"/>
      <c r="B132" s="83"/>
      <c r="C132" s="89"/>
      <c r="D132" s="89"/>
      <c r="E132" s="89"/>
      <c r="F132" s="89"/>
      <c r="G132" s="83"/>
      <c r="H132" s="35"/>
    </row>
    <row r="133" ht="30" customHeight="1">
      <c r="A133" s="86"/>
      <c r="B133" s="83"/>
      <c r="C133" s="83"/>
      <c r="D133" s="83"/>
      <c r="E133" s="83"/>
      <c r="F133" s="83"/>
      <c r="G133" s="83"/>
      <c r="H133" s="35"/>
    </row>
    <row r="134" ht="30" customHeight="1">
      <c r="A134" s="86"/>
      <c r="B134" s="83"/>
      <c r="C134" s="83"/>
      <c r="D134" s="83"/>
      <c r="E134" s="83"/>
      <c r="F134" s="83"/>
      <c r="G134" s="83"/>
      <c r="H134" s="35"/>
    </row>
    <row r="135" ht="30" customHeight="1">
      <c r="A135" s="86"/>
      <c r="B135" s="83"/>
      <c r="C135" s="83"/>
      <c r="D135" s="83"/>
      <c r="E135" s="83"/>
      <c r="F135" s="83"/>
      <c r="G135" s="83"/>
      <c r="H135" s="35"/>
    </row>
    <row r="136" ht="30" customHeight="1">
      <c r="A136" s="86"/>
      <c r="B136" s="83"/>
      <c r="C136" s="83"/>
      <c r="D136" s="83"/>
      <c r="E136" s="83"/>
      <c r="F136" s="83"/>
      <c r="G136" s="83"/>
      <c r="H136" s="35"/>
    </row>
    <row r="137" ht="30" customHeight="1">
      <c r="A137" s="32"/>
      <c r="B137" s="32"/>
      <c r="C137" s="32"/>
      <c r="D137" s="90" t="s">
        <v>29</v>
      </c>
      <c r="E137" s="90">
        <f>SUM(E95:E136)</f>
        <v>0</v>
      </c>
      <c r="F137" s="91"/>
      <c r="G137" s="90">
        <f>SUM(G95:G136)</f>
        <v>0</v>
      </c>
      <c r="H137" s="92"/>
    </row>
    <row r="138" ht="30" customHeight="1">
      <c r="A138" s="10"/>
      <c r="B138" s="10"/>
      <c r="C138" s="10"/>
      <c r="D138" s="10"/>
      <c r="E138" s="10"/>
      <c r="F138" s="10"/>
      <c r="G138" s="10"/>
      <c r="H138" s="10"/>
    </row>
    <row r="139" ht="30" customHeight="1">
      <c r="A139" s="42" t="s">
        <v>33</v>
      </c>
      <c r="B139" s="42"/>
      <c r="C139" s="42"/>
      <c r="D139" s="42"/>
      <c r="E139" s="42"/>
      <c r="F139" s="42"/>
      <c r="G139" s="42"/>
      <c r="H139" s="42"/>
    </row>
    <row r="140" ht="70.150000000000006" customHeight="1">
      <c r="A140" s="71" t="s">
        <v>38</v>
      </c>
      <c r="B140" s="71" t="s">
        <v>39</v>
      </c>
      <c r="C140" s="72" t="s">
        <v>40</v>
      </c>
      <c r="D140" s="71" t="s">
        <v>47</v>
      </c>
      <c r="E140" s="73" t="s">
        <v>42</v>
      </c>
      <c r="F140" s="74" t="s">
        <v>43</v>
      </c>
      <c r="G140" s="71" t="s">
        <v>44</v>
      </c>
      <c r="H140" s="71" t="s">
        <v>17</v>
      </c>
    </row>
    <row r="141" ht="30" customHeight="1">
      <c r="A141" s="75"/>
      <c r="B141" s="75"/>
      <c r="C141" s="75"/>
      <c r="D141" s="75"/>
      <c r="E141" s="75"/>
      <c r="F141" s="75"/>
      <c r="G141" s="75"/>
      <c r="H141" s="75"/>
    </row>
    <row r="142" ht="30" customHeight="1">
      <c r="A142" s="75"/>
      <c r="B142" s="75"/>
      <c r="C142" s="75"/>
      <c r="D142" s="75"/>
      <c r="E142" s="75"/>
      <c r="F142" s="75"/>
      <c r="G142" s="75"/>
      <c r="H142" s="75"/>
    </row>
    <row r="143" ht="30" customHeight="1">
      <c r="A143" s="75"/>
      <c r="B143" s="75"/>
      <c r="C143" s="75"/>
      <c r="D143" s="75"/>
      <c r="E143" s="75"/>
      <c r="F143" s="75"/>
      <c r="G143" s="75"/>
      <c r="H143" s="75"/>
    </row>
    <row r="144" ht="30" customHeight="1">
      <c r="A144" s="82"/>
      <c r="B144" s="83"/>
      <c r="C144" s="84"/>
      <c r="D144" s="84"/>
      <c r="E144" s="84"/>
      <c r="F144" s="84"/>
      <c r="G144" s="84"/>
      <c r="H144" s="32"/>
    </row>
    <row r="145" ht="30" customHeight="1">
      <c r="A145" s="82"/>
      <c r="B145" s="83"/>
      <c r="C145" s="84"/>
      <c r="D145" s="84"/>
      <c r="E145" s="84"/>
      <c r="F145" s="84"/>
      <c r="G145" s="84"/>
      <c r="H145" s="32"/>
    </row>
    <row r="146" ht="30" customHeight="1">
      <c r="A146" s="82"/>
      <c r="B146" s="83"/>
      <c r="C146" s="84"/>
      <c r="D146" s="84"/>
      <c r="E146" s="84"/>
      <c r="F146" s="84"/>
      <c r="G146" s="84"/>
      <c r="H146" s="32"/>
    </row>
    <row r="147" ht="30" customHeight="1">
      <c r="A147" s="82"/>
      <c r="B147" s="83"/>
      <c r="C147" s="84"/>
      <c r="D147" s="84"/>
      <c r="E147" s="84"/>
      <c r="F147" s="84"/>
      <c r="G147" s="84"/>
      <c r="H147" s="32"/>
    </row>
    <row r="148" ht="30" customHeight="1">
      <c r="A148" s="86"/>
      <c r="B148" s="83"/>
      <c r="C148" s="84"/>
      <c r="D148" s="84"/>
      <c r="E148" s="84"/>
      <c r="F148" s="83"/>
      <c r="G148" s="83"/>
      <c r="H148" s="32"/>
    </row>
    <row r="149" ht="30" customHeight="1">
      <c r="A149" s="86"/>
      <c r="B149" s="83"/>
      <c r="C149" s="83"/>
      <c r="D149" s="83"/>
      <c r="E149" s="83"/>
      <c r="F149" s="83"/>
      <c r="G149" s="83"/>
      <c r="H149" s="32"/>
    </row>
    <row r="150" ht="30" customHeight="1">
      <c r="A150" s="86"/>
      <c r="B150" s="83"/>
      <c r="C150" s="84"/>
      <c r="D150" s="84"/>
      <c r="E150" s="84"/>
      <c r="F150" s="83"/>
      <c r="G150" s="83"/>
      <c r="H150" s="32"/>
    </row>
    <row r="151" ht="30" customHeight="1">
      <c r="A151" s="86"/>
      <c r="B151" s="83"/>
      <c r="C151" s="84"/>
      <c r="D151" s="84"/>
      <c r="E151" s="84"/>
      <c r="F151" s="83"/>
      <c r="G151" s="83"/>
      <c r="H151" s="32"/>
    </row>
    <row r="152" ht="30" customHeight="1">
      <c r="A152" s="86"/>
      <c r="B152" s="83"/>
      <c r="C152" s="84"/>
      <c r="D152" s="84"/>
      <c r="E152" s="84"/>
      <c r="F152" s="83"/>
      <c r="G152" s="83"/>
      <c r="H152" s="32"/>
    </row>
    <row r="153" ht="30" customHeight="1">
      <c r="A153" s="86"/>
      <c r="B153" s="83"/>
      <c r="C153" s="83"/>
      <c r="D153" s="83"/>
      <c r="E153" s="83"/>
      <c r="F153" s="83"/>
      <c r="G153" s="83"/>
      <c r="H153" s="32"/>
    </row>
    <row r="154" ht="30" customHeight="1">
      <c r="A154" s="86"/>
      <c r="B154" s="83"/>
      <c r="C154" s="84"/>
      <c r="D154" s="84"/>
      <c r="E154" s="84"/>
      <c r="F154" s="83"/>
      <c r="G154" s="83"/>
      <c r="H154" s="32"/>
    </row>
    <row r="155" ht="30" customHeight="1">
      <c r="A155" s="86"/>
      <c r="B155" s="83"/>
      <c r="C155" s="84"/>
      <c r="D155" s="84"/>
      <c r="E155" s="84"/>
      <c r="F155" s="83"/>
      <c r="G155" s="83"/>
      <c r="H155" s="32"/>
    </row>
    <row r="156" ht="30" customHeight="1">
      <c r="A156" s="86"/>
      <c r="B156" s="83"/>
      <c r="C156" s="84"/>
      <c r="D156" s="84"/>
      <c r="E156" s="84"/>
      <c r="F156" s="83"/>
      <c r="G156" s="83"/>
      <c r="H156" s="32"/>
    </row>
    <row r="157" ht="30" customHeight="1">
      <c r="A157" s="86"/>
      <c r="B157" s="83"/>
      <c r="C157" s="84"/>
      <c r="D157" s="84"/>
      <c r="E157" s="84"/>
      <c r="F157" s="83"/>
      <c r="G157" s="83"/>
      <c r="H157" s="32"/>
    </row>
    <row r="158" ht="30" customHeight="1">
      <c r="A158" s="86"/>
      <c r="B158" s="83"/>
      <c r="C158" s="84"/>
      <c r="D158" s="84"/>
      <c r="E158" s="84"/>
      <c r="F158" s="83"/>
      <c r="G158" s="83"/>
      <c r="H158" s="32"/>
    </row>
    <row r="159" ht="30" customHeight="1">
      <c r="A159" s="86"/>
      <c r="B159" s="83"/>
      <c r="C159" s="84"/>
      <c r="D159" s="84"/>
      <c r="E159" s="84"/>
      <c r="F159" s="83"/>
      <c r="G159" s="83"/>
      <c r="H159" s="32"/>
    </row>
    <row r="160" ht="30" customHeight="1">
      <c r="A160" s="88"/>
      <c r="B160" s="83"/>
      <c r="C160" s="84"/>
      <c r="D160" s="84"/>
      <c r="E160" s="84"/>
      <c r="F160" s="83"/>
      <c r="G160" s="83"/>
      <c r="H160" s="32"/>
    </row>
    <row r="161" ht="30" customHeight="1">
      <c r="A161" s="86"/>
      <c r="B161" s="83"/>
      <c r="C161" s="84"/>
      <c r="D161" s="84"/>
      <c r="E161" s="84"/>
      <c r="F161" s="83"/>
      <c r="G161" s="83"/>
      <c r="H161" s="32"/>
    </row>
    <row r="162" ht="30" customHeight="1">
      <c r="A162" s="86"/>
      <c r="B162" s="83"/>
      <c r="C162" s="84"/>
      <c r="D162" s="84"/>
      <c r="E162" s="84"/>
      <c r="F162" s="83"/>
      <c r="G162" s="83"/>
      <c r="H162" s="32"/>
    </row>
    <row r="163" ht="30" customHeight="1">
      <c r="A163" s="86"/>
      <c r="B163" s="83"/>
      <c r="C163" s="84"/>
      <c r="D163" s="84"/>
      <c r="E163" s="84"/>
      <c r="F163" s="83"/>
      <c r="G163" s="83"/>
      <c r="H163" s="35"/>
    </row>
    <row r="164" ht="30" customHeight="1">
      <c r="A164" s="86"/>
      <c r="B164" s="83"/>
      <c r="C164" s="84"/>
      <c r="D164" s="84"/>
      <c r="E164" s="84"/>
      <c r="F164" s="83"/>
      <c r="G164" s="83"/>
      <c r="H164" s="35"/>
    </row>
    <row r="165" ht="30" customHeight="1">
      <c r="A165" s="86"/>
      <c r="B165" s="83"/>
      <c r="C165" s="84"/>
      <c r="D165" s="84"/>
      <c r="E165" s="84"/>
      <c r="F165" s="83"/>
      <c r="G165" s="83"/>
      <c r="H165" s="35"/>
    </row>
    <row r="166" ht="30" customHeight="1">
      <c r="A166" s="86"/>
      <c r="B166" s="83"/>
      <c r="C166" s="83"/>
      <c r="D166" s="83"/>
      <c r="E166" s="83"/>
      <c r="F166" s="83"/>
      <c r="G166" s="83"/>
      <c r="H166" s="35"/>
    </row>
    <row r="167" ht="30" customHeight="1">
      <c r="A167" s="86"/>
      <c r="B167" s="83"/>
      <c r="C167" s="83"/>
      <c r="D167" s="83"/>
      <c r="E167" s="83"/>
      <c r="F167" s="83"/>
      <c r="G167" s="83"/>
      <c r="H167" s="35"/>
    </row>
    <row r="168" ht="30" customHeight="1">
      <c r="A168" s="86"/>
      <c r="B168" s="83"/>
      <c r="C168" s="83"/>
      <c r="D168" s="83"/>
      <c r="E168" s="83"/>
      <c r="F168" s="83"/>
      <c r="G168" s="83"/>
      <c r="H168" s="35"/>
    </row>
    <row r="169" ht="30" customHeight="1">
      <c r="A169" s="86"/>
      <c r="B169" s="83"/>
      <c r="C169" s="83"/>
      <c r="D169" s="83"/>
      <c r="E169" s="83"/>
      <c r="F169" s="83"/>
      <c r="G169" s="83"/>
      <c r="H169" s="35"/>
    </row>
    <row r="170" ht="30" customHeight="1">
      <c r="A170" s="86"/>
      <c r="B170" s="83"/>
      <c r="C170" s="83"/>
      <c r="D170" s="83"/>
      <c r="E170" s="83"/>
      <c r="F170" s="83"/>
      <c r="G170" s="83"/>
      <c r="H170" s="35"/>
    </row>
    <row r="171" ht="30" customHeight="1">
      <c r="A171" s="86"/>
      <c r="B171" s="83"/>
      <c r="C171" s="83"/>
      <c r="D171" s="83"/>
      <c r="E171" s="83"/>
      <c r="F171" s="83"/>
      <c r="G171" s="83"/>
      <c r="H171" s="35"/>
    </row>
    <row r="172" ht="30" customHeight="1">
      <c r="A172" s="86"/>
      <c r="B172" s="83"/>
      <c r="C172" s="83"/>
      <c r="D172" s="83"/>
      <c r="E172" s="83"/>
      <c r="F172" s="83"/>
      <c r="G172" s="83"/>
      <c r="H172" s="35"/>
    </row>
    <row r="173" ht="30" customHeight="1">
      <c r="A173" s="86"/>
      <c r="B173" s="83"/>
      <c r="C173" s="83"/>
      <c r="D173" s="83"/>
      <c r="E173" s="83"/>
      <c r="F173" s="83"/>
      <c r="G173" s="83"/>
      <c r="H173" s="35"/>
    </row>
    <row r="174" ht="30" customHeight="1">
      <c r="A174" s="86"/>
      <c r="B174" s="83"/>
      <c r="C174" s="83"/>
      <c r="D174" s="83"/>
      <c r="E174" s="83"/>
      <c r="F174" s="83"/>
      <c r="G174" s="83"/>
      <c r="H174" s="35"/>
    </row>
    <row r="175" ht="30" customHeight="1">
      <c r="A175" s="86"/>
      <c r="B175" s="83"/>
      <c r="C175" s="83"/>
      <c r="D175" s="83"/>
      <c r="E175" s="83"/>
      <c r="F175" s="83"/>
      <c r="G175" s="83"/>
      <c r="H175" s="32"/>
    </row>
    <row r="176" ht="30" customHeight="1">
      <c r="A176" s="86"/>
      <c r="B176" s="83"/>
      <c r="C176" s="83"/>
      <c r="D176" s="83"/>
      <c r="E176" s="83"/>
      <c r="F176" s="83"/>
      <c r="G176" s="83"/>
      <c r="H176" s="32"/>
    </row>
    <row r="177" ht="30" customHeight="1">
      <c r="A177" s="86"/>
      <c r="B177" s="83"/>
      <c r="C177" s="83"/>
      <c r="D177" s="83"/>
      <c r="E177" s="83"/>
      <c r="F177" s="83"/>
      <c r="G177" s="83"/>
      <c r="H177" s="35"/>
    </row>
    <row r="178" ht="30" customHeight="1">
      <c r="A178" s="86"/>
      <c r="B178" s="83"/>
      <c r="C178" s="89"/>
      <c r="D178" s="89"/>
      <c r="E178" s="89"/>
      <c r="F178" s="89"/>
      <c r="G178" s="83"/>
      <c r="H178" s="35"/>
    </row>
    <row r="179" ht="30" customHeight="1">
      <c r="A179" s="86"/>
      <c r="B179" s="83"/>
      <c r="C179" s="83"/>
      <c r="D179" s="83"/>
      <c r="E179" s="83"/>
      <c r="F179" s="83"/>
      <c r="G179" s="83"/>
      <c r="H179" s="35"/>
    </row>
    <row r="180" ht="30" customHeight="1">
      <c r="A180" s="86"/>
      <c r="B180" s="83"/>
      <c r="C180" s="83"/>
      <c r="D180" s="83"/>
      <c r="E180" s="83"/>
      <c r="F180" s="83"/>
      <c r="G180" s="83"/>
      <c r="H180" s="35"/>
    </row>
    <row r="181" ht="30" customHeight="1">
      <c r="A181" s="86"/>
      <c r="B181" s="83"/>
      <c r="C181" s="83"/>
      <c r="D181" s="83"/>
      <c r="E181" s="83"/>
      <c r="F181" s="83"/>
      <c r="G181" s="83"/>
      <c r="H181" s="35"/>
    </row>
    <row r="182" ht="30" customHeight="1">
      <c r="A182" s="86"/>
      <c r="B182" s="83"/>
      <c r="C182" s="83"/>
      <c r="D182" s="83"/>
      <c r="E182" s="83"/>
      <c r="F182" s="83"/>
      <c r="G182" s="83"/>
      <c r="H182" s="35"/>
    </row>
    <row r="183" ht="30" customHeight="1">
      <c r="A183" s="32"/>
      <c r="B183" s="32"/>
      <c r="C183" s="32"/>
      <c r="D183" s="90" t="s">
        <v>29</v>
      </c>
      <c r="E183" s="90">
        <f>SUM(E141:E182)</f>
        <v>0</v>
      </c>
      <c r="F183" s="91"/>
      <c r="G183" s="90">
        <f t="shared" ref="G183:G229" si="16">SUM(G141:G182)</f>
        <v>0</v>
      </c>
      <c r="H183" s="92"/>
    </row>
    <row r="184" ht="30" customHeight="1">
      <c r="A184" s="10"/>
      <c r="B184" s="10"/>
      <c r="C184" s="10"/>
      <c r="D184" s="10"/>
      <c r="E184" s="10"/>
      <c r="F184" s="10"/>
      <c r="G184" s="10"/>
      <c r="H184" s="10"/>
    </row>
    <row r="185" ht="30" customHeight="1">
      <c r="A185" s="42" t="s">
        <v>34</v>
      </c>
      <c r="B185" s="42"/>
      <c r="C185" s="42"/>
      <c r="D185" s="42"/>
      <c r="E185" s="42"/>
      <c r="F185" s="42"/>
      <c r="G185" s="42"/>
      <c r="H185" s="42"/>
    </row>
    <row r="186" ht="76.150000000000006" customHeight="1">
      <c r="A186" s="71" t="s">
        <v>38</v>
      </c>
      <c r="B186" s="71" t="s">
        <v>39</v>
      </c>
      <c r="C186" s="72" t="s">
        <v>40</v>
      </c>
      <c r="D186" s="71" t="s">
        <v>47</v>
      </c>
      <c r="E186" s="73" t="s">
        <v>42</v>
      </c>
      <c r="F186" s="74" t="s">
        <v>43</v>
      </c>
      <c r="G186" s="71" t="s">
        <v>44</v>
      </c>
      <c r="H186" s="71" t="s">
        <v>17</v>
      </c>
    </row>
    <row r="187" ht="30" customHeight="1">
      <c r="A187" s="75"/>
      <c r="B187" s="75"/>
      <c r="C187" s="75"/>
      <c r="D187" s="75"/>
      <c r="E187" s="75"/>
      <c r="F187" s="75"/>
      <c r="G187" s="75"/>
      <c r="H187" s="75"/>
    </row>
    <row r="188" ht="30" customHeight="1">
      <c r="A188" s="75"/>
      <c r="B188" s="75"/>
      <c r="C188" s="75"/>
      <c r="D188" s="75"/>
      <c r="E188" s="75"/>
      <c r="F188" s="75"/>
      <c r="G188" s="75"/>
      <c r="H188" s="75"/>
    </row>
    <row r="189" ht="30" customHeight="1">
      <c r="A189" s="75"/>
      <c r="B189" s="75"/>
      <c r="C189" s="75"/>
      <c r="D189" s="75"/>
      <c r="E189" s="75"/>
      <c r="F189" s="75"/>
      <c r="G189" s="75"/>
      <c r="H189" s="75"/>
    </row>
    <row r="190" ht="30" customHeight="1">
      <c r="A190" s="82"/>
      <c r="B190" s="83"/>
      <c r="C190" s="84"/>
      <c r="D190" s="84"/>
      <c r="E190" s="84"/>
      <c r="F190" s="84"/>
      <c r="G190" s="84"/>
      <c r="H190" s="32"/>
    </row>
    <row r="191" ht="30" customHeight="1">
      <c r="A191" s="82"/>
      <c r="B191" s="83"/>
      <c r="C191" s="84"/>
      <c r="D191" s="84"/>
      <c r="E191" s="84"/>
      <c r="F191" s="84"/>
      <c r="G191" s="84"/>
      <c r="H191" s="32"/>
    </row>
    <row r="192" ht="30" customHeight="1">
      <c r="A192" s="82"/>
      <c r="B192" s="83"/>
      <c r="C192" s="84"/>
      <c r="D192" s="84"/>
      <c r="E192" s="84"/>
      <c r="F192" s="84"/>
      <c r="G192" s="84"/>
      <c r="H192" s="32"/>
    </row>
    <row r="193" ht="30" customHeight="1">
      <c r="A193" s="82"/>
      <c r="B193" s="83"/>
      <c r="C193" s="84"/>
      <c r="D193" s="84"/>
      <c r="E193" s="84"/>
      <c r="F193" s="84"/>
      <c r="G193" s="84"/>
      <c r="H193" s="32"/>
    </row>
    <row r="194" ht="30" customHeight="1">
      <c r="A194" s="86"/>
      <c r="B194" s="83"/>
      <c r="C194" s="84"/>
      <c r="D194" s="84"/>
      <c r="E194" s="84"/>
      <c r="F194" s="83"/>
      <c r="G194" s="83"/>
      <c r="H194" s="32"/>
    </row>
    <row r="195" ht="30" customHeight="1">
      <c r="A195" s="86"/>
      <c r="B195" s="83"/>
      <c r="C195" s="83"/>
      <c r="D195" s="83"/>
      <c r="E195" s="83"/>
      <c r="F195" s="83"/>
      <c r="G195" s="83"/>
      <c r="H195" s="32"/>
    </row>
    <row r="196" ht="30" customHeight="1">
      <c r="A196" s="86"/>
      <c r="B196" s="83"/>
      <c r="C196" s="84"/>
      <c r="D196" s="84"/>
      <c r="E196" s="84"/>
      <c r="F196" s="83"/>
      <c r="G196" s="83"/>
      <c r="H196" s="32"/>
    </row>
    <row r="197" ht="30" customHeight="1">
      <c r="A197" s="86"/>
      <c r="B197" s="83"/>
      <c r="C197" s="84"/>
      <c r="D197" s="84"/>
      <c r="E197" s="84"/>
      <c r="F197" s="83"/>
      <c r="G197" s="83"/>
      <c r="H197" s="32"/>
    </row>
    <row r="198" ht="30" customHeight="1">
      <c r="A198" s="86"/>
      <c r="B198" s="83"/>
      <c r="C198" s="84"/>
      <c r="D198" s="84"/>
      <c r="E198" s="84"/>
      <c r="F198" s="83"/>
      <c r="G198" s="83"/>
      <c r="H198" s="32"/>
    </row>
    <row r="199" ht="30" customHeight="1">
      <c r="A199" s="86"/>
      <c r="B199" s="83"/>
      <c r="C199" s="83"/>
      <c r="D199" s="83"/>
      <c r="E199" s="83"/>
      <c r="F199" s="83"/>
      <c r="G199" s="83"/>
      <c r="H199" s="32"/>
    </row>
    <row r="200" ht="30" customHeight="1">
      <c r="A200" s="86"/>
      <c r="B200" s="83"/>
      <c r="C200" s="84"/>
      <c r="D200" s="84"/>
      <c r="E200" s="84"/>
      <c r="F200" s="83"/>
      <c r="G200" s="83"/>
      <c r="H200" s="32"/>
    </row>
    <row r="201" ht="30" customHeight="1">
      <c r="A201" s="86"/>
      <c r="B201" s="83"/>
      <c r="C201" s="84"/>
      <c r="D201" s="84"/>
      <c r="E201" s="84"/>
      <c r="F201" s="83"/>
      <c r="G201" s="83"/>
      <c r="H201" s="32"/>
    </row>
    <row r="202" ht="30" customHeight="1">
      <c r="A202" s="86"/>
      <c r="B202" s="83"/>
      <c r="C202" s="84"/>
      <c r="D202" s="84"/>
      <c r="E202" s="84"/>
      <c r="F202" s="83"/>
      <c r="G202" s="83"/>
      <c r="H202" s="32"/>
    </row>
    <row r="203" ht="30" customHeight="1">
      <c r="A203" s="86"/>
      <c r="B203" s="83"/>
      <c r="C203" s="84"/>
      <c r="D203" s="84"/>
      <c r="E203" s="84"/>
      <c r="F203" s="83"/>
      <c r="G203" s="83"/>
      <c r="H203" s="32"/>
    </row>
    <row r="204" ht="30" customHeight="1">
      <c r="A204" s="86"/>
      <c r="B204" s="83"/>
      <c r="C204" s="84"/>
      <c r="D204" s="84"/>
      <c r="E204" s="84"/>
      <c r="F204" s="83"/>
      <c r="G204" s="83"/>
      <c r="H204" s="32"/>
    </row>
    <row r="205" ht="30" customHeight="1">
      <c r="A205" s="86"/>
      <c r="B205" s="83"/>
      <c r="C205" s="84"/>
      <c r="D205" s="84"/>
      <c r="E205" s="84"/>
      <c r="F205" s="83"/>
      <c r="G205" s="83"/>
      <c r="H205" s="32"/>
    </row>
    <row r="206" ht="30" customHeight="1">
      <c r="A206" s="88"/>
      <c r="B206" s="83"/>
      <c r="C206" s="84"/>
      <c r="D206" s="84"/>
      <c r="E206" s="84"/>
      <c r="F206" s="83"/>
      <c r="G206" s="83"/>
      <c r="H206" s="32"/>
    </row>
    <row r="207" ht="30" customHeight="1">
      <c r="A207" s="86"/>
      <c r="B207" s="83"/>
      <c r="C207" s="84"/>
      <c r="D207" s="84"/>
      <c r="E207" s="84"/>
      <c r="F207" s="83"/>
      <c r="G207" s="83"/>
      <c r="H207" s="32"/>
    </row>
    <row r="208" ht="30" customHeight="1">
      <c r="A208" s="86"/>
      <c r="B208" s="83"/>
      <c r="C208" s="84"/>
      <c r="D208" s="84"/>
      <c r="E208" s="84"/>
      <c r="F208" s="83"/>
      <c r="G208" s="83"/>
      <c r="H208" s="32"/>
    </row>
    <row r="209" ht="30" customHeight="1">
      <c r="A209" s="86"/>
      <c r="B209" s="83"/>
      <c r="C209" s="84"/>
      <c r="D209" s="84"/>
      <c r="E209" s="84"/>
      <c r="F209" s="83"/>
      <c r="G209" s="83"/>
      <c r="H209" s="35"/>
    </row>
    <row r="210" ht="30" customHeight="1">
      <c r="A210" s="86"/>
      <c r="B210" s="83"/>
      <c r="C210" s="84"/>
      <c r="D210" s="84"/>
      <c r="E210" s="84"/>
      <c r="F210" s="83"/>
      <c r="G210" s="83"/>
      <c r="H210" s="35"/>
    </row>
    <row r="211" ht="30" customHeight="1">
      <c r="A211" s="86"/>
      <c r="B211" s="83"/>
      <c r="C211" s="84"/>
      <c r="D211" s="84"/>
      <c r="E211" s="84"/>
      <c r="F211" s="83"/>
      <c r="G211" s="83"/>
      <c r="H211" s="35"/>
    </row>
    <row r="212" ht="30" customHeight="1">
      <c r="A212" s="86"/>
      <c r="B212" s="83"/>
      <c r="C212" s="83"/>
      <c r="D212" s="83"/>
      <c r="E212" s="83"/>
      <c r="F212" s="83"/>
      <c r="G212" s="83"/>
      <c r="H212" s="35"/>
    </row>
    <row r="213" ht="30" customHeight="1">
      <c r="A213" s="86"/>
      <c r="B213" s="83"/>
      <c r="C213" s="83"/>
      <c r="D213" s="83"/>
      <c r="E213" s="83"/>
      <c r="F213" s="83"/>
      <c r="G213" s="83"/>
      <c r="H213" s="35"/>
    </row>
    <row r="214" ht="30" customHeight="1">
      <c r="A214" s="86"/>
      <c r="B214" s="83"/>
      <c r="C214" s="83"/>
      <c r="D214" s="83"/>
      <c r="E214" s="83"/>
      <c r="F214" s="83"/>
      <c r="G214" s="83"/>
      <c r="H214" s="35"/>
    </row>
    <row r="215" ht="30" customHeight="1">
      <c r="A215" s="86"/>
      <c r="B215" s="83"/>
      <c r="C215" s="83"/>
      <c r="D215" s="83"/>
      <c r="E215" s="83"/>
      <c r="F215" s="83"/>
      <c r="G215" s="83"/>
      <c r="H215" s="35"/>
    </row>
    <row r="216" ht="30" customHeight="1">
      <c r="A216" s="86"/>
      <c r="B216" s="83"/>
      <c r="C216" s="83"/>
      <c r="D216" s="83"/>
      <c r="E216" s="83"/>
      <c r="F216" s="83"/>
      <c r="G216" s="83"/>
      <c r="H216" s="35"/>
    </row>
    <row r="217" ht="30" customHeight="1">
      <c r="A217" s="86"/>
      <c r="B217" s="83"/>
      <c r="C217" s="83"/>
      <c r="D217" s="83"/>
      <c r="E217" s="83"/>
      <c r="F217" s="83"/>
      <c r="G217" s="83"/>
      <c r="H217" s="35"/>
    </row>
    <row r="218" ht="30" customHeight="1">
      <c r="A218" s="86"/>
      <c r="B218" s="83"/>
      <c r="C218" s="83"/>
      <c r="D218" s="83"/>
      <c r="E218" s="83"/>
      <c r="F218" s="83"/>
      <c r="G218" s="83"/>
      <c r="H218" s="35"/>
    </row>
    <row r="219" ht="30" customHeight="1">
      <c r="A219" s="86"/>
      <c r="B219" s="83"/>
      <c r="C219" s="83"/>
      <c r="D219" s="83"/>
      <c r="E219" s="83"/>
      <c r="F219" s="83"/>
      <c r="G219" s="83"/>
      <c r="H219" s="35"/>
    </row>
    <row r="220" ht="30" customHeight="1">
      <c r="A220" s="86"/>
      <c r="B220" s="83"/>
      <c r="C220" s="83"/>
      <c r="D220" s="83"/>
      <c r="E220" s="83"/>
      <c r="F220" s="83"/>
      <c r="G220" s="83"/>
      <c r="H220" s="35"/>
    </row>
    <row r="221" ht="30" customHeight="1">
      <c r="A221" s="86"/>
      <c r="B221" s="83"/>
      <c r="C221" s="83"/>
      <c r="D221" s="83"/>
      <c r="E221" s="83"/>
      <c r="F221" s="83"/>
      <c r="G221" s="83"/>
      <c r="H221" s="32"/>
    </row>
    <row r="222" ht="30" customHeight="1">
      <c r="A222" s="86"/>
      <c r="B222" s="83"/>
      <c r="C222" s="83"/>
      <c r="D222" s="83"/>
      <c r="E222" s="83"/>
      <c r="F222" s="83"/>
      <c r="G222" s="83"/>
      <c r="H222" s="32"/>
    </row>
    <row r="223" ht="30" customHeight="1">
      <c r="A223" s="86"/>
      <c r="B223" s="83"/>
      <c r="C223" s="83"/>
      <c r="D223" s="83"/>
      <c r="E223" s="83"/>
      <c r="F223" s="83"/>
      <c r="G223" s="83"/>
      <c r="H223" s="35"/>
    </row>
    <row r="224" ht="30" customHeight="1">
      <c r="A224" s="86"/>
      <c r="B224" s="83"/>
      <c r="C224" s="89"/>
      <c r="D224" s="89"/>
      <c r="E224" s="89"/>
      <c r="F224" s="89"/>
      <c r="G224" s="83"/>
      <c r="H224" s="35"/>
    </row>
    <row r="225" ht="30" customHeight="1">
      <c r="A225" s="86"/>
      <c r="B225" s="83"/>
      <c r="C225" s="83"/>
      <c r="D225" s="83"/>
      <c r="E225" s="83"/>
      <c r="F225" s="83"/>
      <c r="G225" s="83"/>
      <c r="H225" s="35"/>
    </row>
    <row r="226" ht="30" customHeight="1">
      <c r="A226" s="86"/>
      <c r="B226" s="83"/>
      <c r="C226" s="83"/>
      <c r="D226" s="83"/>
      <c r="E226" s="83"/>
      <c r="F226" s="83"/>
      <c r="G226" s="83"/>
      <c r="H226" s="35"/>
    </row>
    <row r="227" ht="30" customHeight="1">
      <c r="A227" s="86"/>
      <c r="B227" s="83"/>
      <c r="C227" s="83"/>
      <c r="D227" s="83"/>
      <c r="E227" s="83"/>
      <c r="F227" s="83"/>
      <c r="G227" s="83"/>
      <c r="H227" s="35"/>
    </row>
    <row r="228" ht="30" customHeight="1">
      <c r="A228" s="86"/>
      <c r="B228" s="83"/>
      <c r="C228" s="83"/>
      <c r="D228" s="83"/>
      <c r="E228" s="83"/>
      <c r="F228" s="83"/>
      <c r="G228" s="83"/>
      <c r="H228" s="35"/>
    </row>
    <row r="229" ht="30" customHeight="1">
      <c r="A229" s="32"/>
      <c r="B229" s="32"/>
      <c r="C229" s="32"/>
      <c r="D229" s="90" t="s">
        <v>29</v>
      </c>
      <c r="E229" s="90">
        <f>SUM(E187:E228)</f>
        <v>0</v>
      </c>
      <c r="F229" s="91"/>
      <c r="G229" s="90">
        <f t="shared" si="16"/>
        <v>0</v>
      </c>
      <c r="H229" s="92"/>
    </row>
  </sheetData>
  <mergeCells count="7">
    <mergeCell ref="A1:H1"/>
    <mergeCell ref="K4:L4"/>
    <mergeCell ref="I24:I25"/>
    <mergeCell ref="A47:H47"/>
    <mergeCell ref="A93:H93"/>
    <mergeCell ref="A139:H139"/>
    <mergeCell ref="A185:H185"/>
  </mergeCells>
  <dataValidations count="1" disablePrompts="0">
    <dataValidation sqref="D3:D44 D49:D90 D95:D136 D141:D182 D187:D228" type="list" allowBlank="1" errorStyle="stop" imeMode="noControl" operator="between" showDropDown="0" showErrorMessage="1" showInputMessage="1">
      <formula1>'данные для выпад списка'!$A$5:$A$12</formula1>
    </dataValidation>
  </dataValidation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uri="{231B7EB2-2AFC-4442-B178-5FFDF5851E7C}">
      <userProtectedRanges>
        <userProtectedRange name="Мсводтабл" sqref="K4:L9">
          <users>
            <user id="1476131511" name="ЦСО Калуга"/>
          </users>
        </userProtectedRange>
        <userProtectedRange name="Мтабл1" sqref="A1:H2">
          <users>
            <user id="1476131511" name="ЦСО Калуга"/>
          </users>
        </userProtectedRange>
        <userProtectedRange name="Митог1" sqref="D45:H45">
          <users>
            <user id="1476131511" name="ЦСО Калуга"/>
          </users>
        </userProtectedRange>
        <userProtectedRange name="Мтабл2" sqref="A47:H48">
          <users>
            <user id="1476131511" name="ЦСО Калуга"/>
          </users>
        </userProtectedRange>
        <userProtectedRange name="Митог2" sqref="D91:H91">
          <users>
            <user id="1476131511" name="ЦСО Калуга"/>
          </users>
        </userProtectedRange>
        <userProtectedRange name="Мтабл3" sqref="A93:H94">
          <users>
            <user id="1476131511" name="ЦСО Калуга"/>
          </users>
        </userProtectedRange>
        <userProtectedRange name="Митог3" sqref="D137:H137">
          <users>
            <user id="1476131511" name="ЦСО Калуга"/>
          </users>
        </userProtectedRange>
        <userProtectedRange name="Мтабл4" sqref="A139:H140">
          <users>
            <user id="1476131511" name="ЦСО Калуга"/>
          </users>
        </userProtectedRange>
        <userProtectedRange name="Митог4" sqref="D183:H183">
          <users>
            <user id="1476131511" name="ЦСО Калуга"/>
          </users>
        </userProtectedRange>
        <userProtectedRange name="Мтабл5" sqref="A185:H186">
          <users>
            <user id="1476131511" name="ЦСО Калуга"/>
          </users>
        </userProtectedRange>
        <userProtectedRange name="Митог5" sqref="D229:H229">
          <users>
            <user id="1476131511" name="ЦСО Калуга"/>
          </users>
        </userProtectedRange>
      </userProtectedRange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D19" zoomScale="88" workbookViewId="0">
      <selection activeCell="G3" activeCellId="0" sqref="G3"/>
    </sheetView>
  </sheetViews>
  <sheetFormatPr defaultColWidth="8.85546875" defaultRowHeight="14.25"/>
  <cols>
    <col customWidth="1" min="1" max="1" style="1" width="46.28515625"/>
    <col customWidth="1" min="2" max="2" style="1" width="33.140625"/>
    <col customWidth="1" min="3" max="3" style="1" width="36.28515625"/>
    <col customWidth="1" min="4" max="4" style="1" width="74.42578125"/>
    <col customWidth="1" min="5" max="5" style="1" width="23.28515625"/>
    <col customWidth="1" min="6" max="6" style="1" width="27.7109375"/>
    <col customWidth="1" min="7" max="7" style="1" width="65.5703125"/>
    <col min="8" max="9" style="1" width="8.85546875"/>
    <col customWidth="1" min="10" max="10" style="1" width="25.42578125"/>
    <col min="11" max="16384" style="1" width="8.85546875"/>
  </cols>
  <sheetData>
    <row r="1" ht="30" customHeight="1">
      <c r="A1" s="45" t="s">
        <v>9</v>
      </c>
      <c r="B1" s="46"/>
      <c r="C1" s="46"/>
      <c r="D1" s="46"/>
      <c r="E1" s="46"/>
      <c r="F1" s="46"/>
      <c r="G1" s="46"/>
    </row>
    <row r="2" ht="89.450000000000003" customHeight="1">
      <c r="A2" s="71" t="s">
        <v>48</v>
      </c>
      <c r="B2" s="72" t="s">
        <v>49</v>
      </c>
      <c r="C2" s="72" t="s">
        <v>50</v>
      </c>
      <c r="D2" s="93" t="s">
        <v>51</v>
      </c>
      <c r="E2" s="73" t="s">
        <v>52</v>
      </c>
      <c r="F2" s="71" t="s">
        <v>53</v>
      </c>
      <c r="G2" s="94" t="s">
        <v>17</v>
      </c>
    </row>
    <row r="3" ht="30" customHeight="1">
      <c r="A3" s="75"/>
      <c r="B3" s="75"/>
      <c r="C3" s="75"/>
      <c r="D3" s="75"/>
      <c r="E3" s="75"/>
      <c r="F3" s="95"/>
      <c r="G3" s="95"/>
      <c r="J3" s="96" t="s">
        <v>18</v>
      </c>
      <c r="K3" s="96"/>
    </row>
    <row r="4" ht="30" customHeight="1">
      <c r="A4" s="75"/>
      <c r="B4" s="75"/>
      <c r="C4" s="75"/>
      <c r="D4" s="75"/>
      <c r="E4" s="75"/>
      <c r="F4" s="95"/>
      <c r="G4" s="95"/>
      <c r="J4" s="97" t="s">
        <v>45</v>
      </c>
      <c r="K4" s="98">
        <v>100</v>
      </c>
      <c r="L4" s="78"/>
      <c r="M4" s="78"/>
      <c r="N4" s="78"/>
      <c r="O4" s="79"/>
      <c r="P4" s="79"/>
    </row>
    <row r="5" ht="30" customHeight="1">
      <c r="A5" s="75"/>
      <c r="B5" s="75"/>
      <c r="C5" s="75"/>
      <c r="D5" s="75"/>
      <c r="E5" s="75"/>
      <c r="F5" s="95"/>
      <c r="G5" s="95"/>
      <c r="J5" s="99" t="s">
        <v>46</v>
      </c>
      <c r="K5" s="100">
        <f>F44+F89+F134+F179+F224</f>
        <v>0</v>
      </c>
    </row>
    <row r="6" ht="30" customHeight="1">
      <c r="A6" s="82"/>
      <c r="B6" s="101"/>
      <c r="C6" s="101"/>
      <c r="D6" s="102"/>
      <c r="E6" s="102"/>
      <c r="F6" s="102"/>
      <c r="G6" s="103"/>
      <c r="J6" s="99" t="s">
        <v>21</v>
      </c>
      <c r="K6" s="104">
        <f>K5/K4*100</f>
        <v>0</v>
      </c>
    </row>
    <row r="7" ht="30" customHeight="1">
      <c r="A7" s="82"/>
      <c r="B7" s="101"/>
      <c r="C7" s="101"/>
      <c r="D7" s="102"/>
      <c r="E7" s="102"/>
      <c r="F7" s="102"/>
      <c r="G7" s="103"/>
      <c r="J7" s="99" t="s">
        <v>22</v>
      </c>
      <c r="K7" s="100">
        <f>K4-K5</f>
        <v>100</v>
      </c>
    </row>
    <row r="8" ht="30" customHeight="1">
      <c r="A8" s="82"/>
      <c r="B8" s="101"/>
      <c r="C8" s="101"/>
      <c r="D8" s="102"/>
      <c r="E8" s="102"/>
      <c r="F8" s="102"/>
      <c r="G8" s="103"/>
      <c r="J8" s="97" t="s">
        <v>23</v>
      </c>
      <c r="K8" s="98">
        <v>10</v>
      </c>
    </row>
    <row r="9" ht="30" customHeight="1">
      <c r="A9" s="82"/>
      <c r="B9" s="101"/>
      <c r="C9" s="101"/>
      <c r="D9" s="102"/>
      <c r="E9" s="102"/>
      <c r="F9" s="102"/>
      <c r="G9" s="103"/>
    </row>
    <row r="10" ht="30" customHeight="1">
      <c r="A10" s="105"/>
      <c r="B10" s="101"/>
      <c r="C10" s="101"/>
      <c r="D10" s="102"/>
      <c r="E10" s="102"/>
      <c r="F10" s="101"/>
      <c r="G10" s="103"/>
    </row>
    <row r="11" ht="30" customHeight="1">
      <c r="A11" s="105"/>
      <c r="B11" s="101"/>
      <c r="C11" s="101"/>
      <c r="D11" s="101"/>
      <c r="E11" s="101"/>
      <c r="F11" s="101"/>
      <c r="G11" s="103"/>
    </row>
    <row r="12" ht="30" customHeight="1">
      <c r="A12" s="105"/>
      <c r="B12" s="101"/>
      <c r="C12" s="101"/>
      <c r="D12" s="102"/>
      <c r="E12" s="102"/>
      <c r="F12" s="101"/>
      <c r="G12" s="103"/>
      <c r="J12" s="87"/>
    </row>
    <row r="13" ht="30" customHeight="1">
      <c r="A13" s="105"/>
      <c r="B13" s="101"/>
      <c r="C13" s="101"/>
      <c r="D13" s="102"/>
      <c r="E13" s="102"/>
      <c r="F13" s="101"/>
      <c r="G13" s="103"/>
      <c r="J13" s="87"/>
    </row>
    <row r="14" ht="30" customHeight="1">
      <c r="A14" s="105"/>
      <c r="B14" s="101"/>
      <c r="C14" s="101"/>
      <c r="D14" s="102"/>
      <c r="E14" s="102"/>
      <c r="F14" s="101"/>
      <c r="G14" s="103"/>
      <c r="J14" s="87"/>
    </row>
    <row r="15" ht="30" customHeight="1">
      <c r="A15" s="105"/>
      <c r="B15" s="101"/>
      <c r="C15" s="101"/>
      <c r="D15" s="101"/>
      <c r="E15" s="101"/>
      <c r="F15" s="101"/>
      <c r="G15" s="103"/>
      <c r="J15" s="87"/>
    </row>
    <row r="16" ht="30" customHeight="1">
      <c r="A16" s="105"/>
      <c r="B16" s="101"/>
      <c r="C16" s="101"/>
      <c r="D16" s="102"/>
      <c r="E16" s="102"/>
      <c r="F16" s="101"/>
      <c r="G16" s="103"/>
      <c r="J16" s="87"/>
    </row>
    <row r="17" ht="30" customHeight="1">
      <c r="A17" s="105"/>
      <c r="B17" s="101"/>
      <c r="C17" s="101"/>
      <c r="D17" s="102"/>
      <c r="E17" s="102"/>
      <c r="F17" s="101"/>
      <c r="G17" s="103"/>
      <c r="J17" s="87"/>
    </row>
    <row r="18" ht="30" customHeight="1">
      <c r="A18" s="105"/>
      <c r="B18" s="101"/>
      <c r="C18" s="101"/>
      <c r="D18" s="102"/>
      <c r="E18" s="102"/>
      <c r="F18" s="101"/>
      <c r="G18" s="103"/>
      <c r="J18" s="87"/>
    </row>
    <row r="19" ht="30" customHeight="1">
      <c r="A19" s="105"/>
      <c r="B19" s="101"/>
      <c r="C19" s="101"/>
      <c r="D19" s="102"/>
      <c r="E19" s="102"/>
      <c r="F19" s="101"/>
      <c r="G19" s="103"/>
      <c r="J19" s="87"/>
    </row>
    <row r="20" ht="30" customHeight="1">
      <c r="A20" s="105"/>
      <c r="B20" s="101"/>
      <c r="C20" s="101"/>
      <c r="D20" s="102"/>
      <c r="E20" s="102"/>
      <c r="F20" s="101"/>
      <c r="G20" s="103"/>
    </row>
    <row r="21" ht="30" customHeight="1">
      <c r="A21" s="105"/>
      <c r="B21" s="101"/>
      <c r="C21" s="101"/>
      <c r="D21" s="102"/>
      <c r="E21" s="102"/>
      <c r="F21" s="101"/>
      <c r="G21" s="103"/>
      <c r="J21" s="87"/>
    </row>
    <row r="22" ht="30" customHeight="1">
      <c r="A22" s="106"/>
      <c r="B22" s="101"/>
      <c r="C22" s="101"/>
      <c r="D22" s="102"/>
      <c r="E22" s="102"/>
      <c r="F22" s="101"/>
      <c r="G22" s="103"/>
    </row>
    <row r="23" ht="30" customHeight="1">
      <c r="A23" s="105"/>
      <c r="B23" s="101"/>
      <c r="C23" s="101"/>
      <c r="D23" s="102"/>
      <c r="E23" s="102"/>
      <c r="F23" s="101"/>
      <c r="G23" s="103"/>
      <c r="H23" s="61"/>
    </row>
    <row r="24" ht="30" customHeight="1">
      <c r="A24" s="105"/>
      <c r="B24" s="101"/>
      <c r="C24" s="101"/>
      <c r="D24" s="102"/>
      <c r="E24" s="102"/>
      <c r="F24" s="101"/>
      <c r="G24" s="103"/>
      <c r="H24" s="61"/>
    </row>
    <row r="25" ht="30" customHeight="1">
      <c r="A25" s="86"/>
      <c r="B25" s="101"/>
      <c r="C25" s="101"/>
      <c r="D25" s="102"/>
      <c r="E25" s="102"/>
      <c r="F25" s="101"/>
      <c r="G25" s="35"/>
      <c r="H25" s="37"/>
      <c r="I25" s="37"/>
      <c r="J25" s="37"/>
    </row>
    <row r="26" ht="30" customHeight="1">
      <c r="A26" s="86"/>
      <c r="B26" s="101"/>
      <c r="C26" s="101"/>
      <c r="D26" s="102"/>
      <c r="E26" s="102"/>
      <c r="F26" s="101"/>
      <c r="G26" s="35"/>
      <c r="H26" s="37"/>
      <c r="I26" s="37"/>
      <c r="J26" s="37"/>
    </row>
    <row r="27" ht="30" customHeight="1">
      <c r="A27" s="86"/>
      <c r="B27" s="101"/>
      <c r="C27" s="101"/>
      <c r="D27" s="102"/>
      <c r="E27" s="102"/>
      <c r="F27" s="101"/>
      <c r="G27" s="35"/>
      <c r="H27" s="37"/>
      <c r="I27" s="37"/>
      <c r="J27" s="37"/>
    </row>
    <row r="28" ht="30" customHeight="1">
      <c r="A28" s="86"/>
      <c r="B28" s="101"/>
      <c r="C28" s="101"/>
      <c r="D28" s="101"/>
      <c r="E28" s="101"/>
      <c r="F28" s="101"/>
      <c r="G28" s="35"/>
      <c r="H28" s="37"/>
      <c r="I28" s="37"/>
      <c r="J28" s="37"/>
    </row>
    <row r="29" ht="30" customHeight="1">
      <c r="A29" s="86"/>
      <c r="B29" s="101"/>
      <c r="C29" s="101"/>
      <c r="D29" s="101"/>
      <c r="E29" s="101"/>
      <c r="F29" s="101"/>
      <c r="G29" s="103"/>
      <c r="H29" s="1"/>
      <c r="I29" s="1"/>
      <c r="J29" s="1"/>
    </row>
    <row r="30" ht="30" customHeight="1">
      <c r="A30" s="86"/>
      <c r="B30" s="101"/>
      <c r="C30" s="101"/>
      <c r="D30" s="101"/>
      <c r="E30" s="101"/>
      <c r="F30" s="101"/>
      <c r="G30" s="103"/>
      <c r="H30" s="1"/>
      <c r="I30" s="1"/>
      <c r="J30" s="1"/>
    </row>
    <row r="31" ht="30" customHeight="1">
      <c r="A31" s="86"/>
      <c r="B31" s="101"/>
      <c r="C31" s="101"/>
      <c r="D31" s="101"/>
      <c r="E31" s="101"/>
      <c r="F31" s="101"/>
      <c r="G31" s="103"/>
      <c r="H31" s="1"/>
      <c r="I31" s="1"/>
      <c r="J31" s="1"/>
    </row>
    <row r="32" ht="30" customHeight="1">
      <c r="A32" s="86"/>
      <c r="B32" s="101"/>
      <c r="C32" s="101"/>
      <c r="D32" s="101"/>
      <c r="E32" s="101"/>
      <c r="F32" s="101"/>
      <c r="G32" s="103"/>
      <c r="H32" s="1"/>
      <c r="I32" s="1"/>
      <c r="J32" s="1"/>
    </row>
    <row r="33" ht="30" customHeight="1">
      <c r="A33" s="86"/>
      <c r="B33" s="101"/>
      <c r="C33" s="101"/>
      <c r="D33" s="101"/>
      <c r="E33" s="101"/>
      <c r="F33" s="101"/>
      <c r="G33" s="103"/>
      <c r="H33" s="1"/>
      <c r="I33" s="1"/>
      <c r="J33" s="1"/>
    </row>
    <row r="34" ht="30" customHeight="1">
      <c r="A34" s="86"/>
      <c r="B34" s="101"/>
      <c r="C34" s="101"/>
      <c r="D34" s="101"/>
      <c r="E34" s="101"/>
      <c r="F34" s="101"/>
      <c r="G34" s="103"/>
      <c r="H34" s="1"/>
      <c r="I34" s="1"/>
      <c r="J34" s="1"/>
    </row>
    <row r="35" ht="30" customHeight="1">
      <c r="A35" s="86"/>
      <c r="B35" s="101"/>
      <c r="C35" s="101"/>
      <c r="D35" s="101"/>
      <c r="E35" s="101"/>
      <c r="F35" s="101"/>
      <c r="G35" s="103"/>
      <c r="H35" s="1"/>
      <c r="I35" s="1"/>
      <c r="J35" s="1"/>
    </row>
    <row r="36" ht="30" customHeight="1">
      <c r="A36" s="86"/>
      <c r="B36" s="101"/>
      <c r="C36" s="101"/>
      <c r="D36" s="101"/>
      <c r="E36" s="101"/>
      <c r="F36" s="101"/>
      <c r="G36" s="103"/>
      <c r="H36" s="1"/>
      <c r="I36" s="1"/>
      <c r="J36" s="1"/>
    </row>
    <row r="37" ht="30" customHeight="1">
      <c r="A37" s="86"/>
      <c r="B37" s="101"/>
      <c r="C37" s="101"/>
      <c r="D37" s="101"/>
      <c r="E37" s="101"/>
      <c r="F37" s="101"/>
      <c r="G37" s="35"/>
      <c r="H37" s="37"/>
      <c r="I37" s="37"/>
      <c r="J37" s="37"/>
    </row>
    <row r="38" ht="30" customHeight="1">
      <c r="A38" s="86"/>
      <c r="B38" s="101"/>
      <c r="C38" s="101"/>
      <c r="D38" s="107"/>
      <c r="E38" s="107"/>
      <c r="F38" s="101"/>
      <c r="G38" s="35"/>
      <c r="H38" s="37"/>
      <c r="I38" s="37"/>
      <c r="J38" s="37"/>
    </row>
    <row r="39" ht="30" customHeight="1">
      <c r="A39" s="86"/>
      <c r="B39" s="101"/>
      <c r="C39" s="101"/>
      <c r="D39" s="101"/>
      <c r="E39" s="101"/>
      <c r="F39" s="101"/>
      <c r="G39" s="35"/>
      <c r="H39" s="37"/>
      <c r="I39" s="37"/>
      <c r="J39" s="37"/>
    </row>
    <row r="40" ht="30" customHeight="1">
      <c r="A40" s="86"/>
      <c r="B40" s="101"/>
      <c r="C40" s="101"/>
      <c r="D40" s="101"/>
      <c r="E40" s="101"/>
      <c r="F40" s="101"/>
      <c r="G40" s="35"/>
      <c r="H40" s="37"/>
      <c r="I40" s="37"/>
      <c r="J40" s="37"/>
    </row>
    <row r="41" ht="30" customHeight="1">
      <c r="A41" s="86"/>
      <c r="B41" s="101"/>
      <c r="C41" s="101"/>
      <c r="D41" s="101"/>
      <c r="E41" s="101"/>
      <c r="F41" s="101"/>
      <c r="G41" s="35"/>
      <c r="H41" s="37"/>
      <c r="I41" s="37"/>
      <c r="J41" s="37"/>
    </row>
    <row r="42" ht="30" customHeight="1">
      <c r="A42" s="86"/>
      <c r="B42" s="101"/>
      <c r="C42" s="101"/>
      <c r="D42" s="101"/>
      <c r="E42" s="101"/>
      <c r="F42" s="101"/>
      <c r="G42" s="35"/>
      <c r="H42" s="37"/>
      <c r="I42" s="37"/>
      <c r="J42" s="37"/>
    </row>
    <row r="43" ht="30" customHeight="1">
      <c r="A43" s="86"/>
      <c r="B43" s="101"/>
      <c r="C43" s="101"/>
      <c r="D43" s="101"/>
      <c r="E43" s="101"/>
      <c r="F43" s="101"/>
      <c r="G43" s="35"/>
      <c r="H43" s="37"/>
      <c r="I43" s="37"/>
      <c r="J43" s="37"/>
    </row>
    <row r="44" ht="30" customHeight="1">
      <c r="A44" s="103"/>
      <c r="B44" s="103"/>
      <c r="C44" s="103"/>
      <c r="D44" s="108" t="s">
        <v>54</v>
      </c>
      <c r="E44" s="109">
        <f>SUM(E3:E43)</f>
        <v>0</v>
      </c>
      <c r="F44" s="109">
        <f>SUM(F3:F43)</f>
        <v>0</v>
      </c>
      <c r="G44" s="110"/>
    </row>
    <row r="45" ht="30" customHeight="1">
      <c r="A45" s="111"/>
      <c r="B45" s="111"/>
      <c r="C45" s="111"/>
      <c r="D45" s="111"/>
      <c r="E45" s="111"/>
      <c r="F45" s="111"/>
      <c r="G45" s="111"/>
    </row>
    <row r="46" ht="30" customHeight="1">
      <c r="A46" s="66" t="s">
        <v>30</v>
      </c>
      <c r="B46" s="66"/>
      <c r="C46" s="66"/>
      <c r="D46" s="66"/>
      <c r="E46" s="66"/>
      <c r="F46" s="66"/>
      <c r="G46" s="66"/>
    </row>
    <row r="47" ht="66" customHeight="1">
      <c r="A47" s="71" t="s">
        <v>48</v>
      </c>
      <c r="B47" s="72" t="s">
        <v>49</v>
      </c>
      <c r="C47" s="72" t="s">
        <v>50</v>
      </c>
      <c r="D47" s="93" t="s">
        <v>51</v>
      </c>
      <c r="E47" s="73" t="s">
        <v>52</v>
      </c>
      <c r="F47" s="71" t="s">
        <v>53</v>
      </c>
      <c r="G47" s="94" t="s">
        <v>17</v>
      </c>
    </row>
    <row r="48" ht="30" customHeight="1">
      <c r="A48" s="75"/>
      <c r="B48" s="75"/>
      <c r="C48" s="75"/>
      <c r="D48" s="75"/>
      <c r="E48" s="75"/>
      <c r="F48" s="95"/>
      <c r="G48" s="95"/>
    </row>
    <row r="49" ht="30" customHeight="1">
      <c r="A49" s="75"/>
      <c r="B49" s="75"/>
      <c r="C49" s="75"/>
      <c r="D49" s="75"/>
      <c r="E49" s="75"/>
      <c r="F49" s="95"/>
      <c r="G49" s="95"/>
    </row>
    <row r="50" ht="30" customHeight="1">
      <c r="A50" s="75"/>
      <c r="B50" s="75"/>
      <c r="C50" s="75"/>
      <c r="D50" s="75"/>
      <c r="E50" s="75"/>
      <c r="F50" s="95"/>
      <c r="G50" s="95"/>
    </row>
    <row r="51" ht="30" customHeight="1">
      <c r="A51" s="82"/>
      <c r="B51" s="101"/>
      <c r="C51" s="101"/>
      <c r="D51" s="102"/>
      <c r="E51" s="102"/>
      <c r="F51" s="102"/>
      <c r="G51" s="103"/>
    </row>
    <row r="52" ht="30" customHeight="1">
      <c r="A52" s="82"/>
      <c r="B52" s="101"/>
      <c r="C52" s="101"/>
      <c r="D52" s="102"/>
      <c r="E52" s="102"/>
      <c r="F52" s="102"/>
      <c r="G52" s="103"/>
    </row>
    <row r="53" ht="30" customHeight="1">
      <c r="A53" s="82"/>
      <c r="B53" s="101"/>
      <c r="C53" s="101"/>
      <c r="D53" s="102"/>
      <c r="E53" s="102"/>
      <c r="F53" s="102"/>
      <c r="G53" s="103"/>
    </row>
    <row r="54" ht="30" customHeight="1">
      <c r="A54" s="82"/>
      <c r="B54" s="101"/>
      <c r="C54" s="101"/>
      <c r="D54" s="102"/>
      <c r="E54" s="102"/>
      <c r="F54" s="102"/>
      <c r="G54" s="103"/>
    </row>
    <row r="55" ht="30" customHeight="1">
      <c r="A55" s="105"/>
      <c r="B55" s="101"/>
      <c r="C55" s="101"/>
      <c r="D55" s="102"/>
      <c r="E55" s="102"/>
      <c r="F55" s="101"/>
      <c r="G55" s="103"/>
    </row>
    <row r="56" ht="30" customHeight="1">
      <c r="A56" s="105"/>
      <c r="B56" s="101"/>
      <c r="C56" s="101"/>
      <c r="D56" s="101"/>
      <c r="E56" s="101"/>
      <c r="F56" s="101"/>
      <c r="G56" s="103"/>
    </row>
    <row r="57" ht="30" customHeight="1">
      <c r="A57" s="105"/>
      <c r="B57" s="101"/>
      <c r="C57" s="101"/>
      <c r="D57" s="102"/>
      <c r="E57" s="102"/>
      <c r="F57" s="101"/>
      <c r="G57" s="103"/>
    </row>
    <row r="58" ht="30" customHeight="1">
      <c r="A58" s="105"/>
      <c r="B58" s="101"/>
      <c r="C58" s="101"/>
      <c r="D58" s="102"/>
      <c r="E58" s="102"/>
      <c r="F58" s="101"/>
      <c r="G58" s="103"/>
    </row>
    <row r="59" ht="30" customHeight="1">
      <c r="A59" s="105"/>
      <c r="B59" s="101"/>
      <c r="C59" s="101"/>
      <c r="D59" s="102"/>
      <c r="E59" s="102"/>
      <c r="F59" s="101"/>
      <c r="G59" s="103"/>
    </row>
    <row r="60" ht="30" customHeight="1">
      <c r="A60" s="105"/>
      <c r="B60" s="101"/>
      <c r="C60" s="101"/>
      <c r="D60" s="101"/>
      <c r="E60" s="101"/>
      <c r="F60" s="101"/>
      <c r="G60" s="103"/>
    </row>
    <row r="61" ht="30" customHeight="1">
      <c r="A61" s="105"/>
      <c r="B61" s="101"/>
      <c r="C61" s="101"/>
      <c r="D61" s="102"/>
      <c r="E61" s="102"/>
      <c r="F61" s="101"/>
      <c r="G61" s="103"/>
    </row>
    <row r="62" ht="30" customHeight="1">
      <c r="A62" s="105"/>
      <c r="B62" s="101"/>
      <c r="C62" s="101"/>
      <c r="D62" s="102"/>
      <c r="E62" s="102"/>
      <c r="F62" s="101"/>
      <c r="G62" s="103"/>
    </row>
    <row r="63" ht="30" customHeight="1">
      <c r="A63" s="105"/>
      <c r="B63" s="101"/>
      <c r="C63" s="101"/>
      <c r="D63" s="102"/>
      <c r="E63" s="102"/>
      <c r="F63" s="101"/>
      <c r="G63" s="103"/>
    </row>
    <row r="64" ht="30" customHeight="1">
      <c r="A64" s="105"/>
      <c r="B64" s="101"/>
      <c r="C64" s="101"/>
      <c r="D64" s="102"/>
      <c r="E64" s="102"/>
      <c r="F64" s="101"/>
      <c r="G64" s="103"/>
    </row>
    <row r="65" ht="30" customHeight="1">
      <c r="A65" s="105"/>
      <c r="B65" s="101"/>
      <c r="C65" s="101"/>
      <c r="D65" s="102"/>
      <c r="E65" s="102"/>
      <c r="F65" s="101"/>
      <c r="G65" s="103"/>
    </row>
    <row r="66" ht="30" customHeight="1">
      <c r="A66" s="105"/>
      <c r="B66" s="101"/>
      <c r="C66" s="101"/>
      <c r="D66" s="102"/>
      <c r="E66" s="102"/>
      <c r="F66" s="101"/>
      <c r="G66" s="103"/>
    </row>
    <row r="67" ht="30" customHeight="1">
      <c r="A67" s="106"/>
      <c r="B67" s="101"/>
      <c r="C67" s="101"/>
      <c r="D67" s="102"/>
      <c r="E67" s="102"/>
      <c r="F67" s="101"/>
      <c r="G67" s="103"/>
    </row>
    <row r="68" ht="30" customHeight="1">
      <c r="A68" s="105"/>
      <c r="B68" s="101"/>
      <c r="C68" s="101"/>
      <c r="D68" s="102"/>
      <c r="E68" s="102"/>
      <c r="F68" s="101"/>
      <c r="G68" s="103"/>
    </row>
    <row r="69" ht="30" customHeight="1">
      <c r="A69" s="105"/>
      <c r="B69" s="101"/>
      <c r="C69" s="101"/>
      <c r="D69" s="102"/>
      <c r="E69" s="102"/>
      <c r="F69" s="101"/>
      <c r="G69" s="103"/>
    </row>
    <row r="70" ht="30" customHeight="1">
      <c r="A70" s="86"/>
      <c r="B70" s="101"/>
      <c r="C70" s="101"/>
      <c r="D70" s="102"/>
      <c r="E70" s="102"/>
      <c r="F70" s="101"/>
      <c r="G70" s="35"/>
    </row>
    <row r="71" ht="30" customHeight="1">
      <c r="A71" s="86"/>
      <c r="B71" s="101"/>
      <c r="C71" s="101"/>
      <c r="D71" s="102"/>
      <c r="E71" s="102"/>
      <c r="F71" s="101"/>
      <c r="G71" s="35"/>
    </row>
    <row r="72" ht="30" customHeight="1">
      <c r="A72" s="86"/>
      <c r="B72" s="101"/>
      <c r="C72" s="101"/>
      <c r="D72" s="102"/>
      <c r="E72" s="102"/>
      <c r="F72" s="101"/>
      <c r="G72" s="35"/>
    </row>
    <row r="73" ht="30" customHeight="1">
      <c r="A73" s="86"/>
      <c r="B73" s="101"/>
      <c r="C73" s="101"/>
      <c r="D73" s="101"/>
      <c r="E73" s="101"/>
      <c r="F73" s="101"/>
      <c r="G73" s="35"/>
    </row>
    <row r="74" ht="30" customHeight="1">
      <c r="A74" s="86"/>
      <c r="B74" s="101"/>
      <c r="C74" s="101"/>
      <c r="D74" s="101"/>
      <c r="E74" s="101"/>
      <c r="F74" s="101"/>
      <c r="G74" s="103"/>
    </row>
    <row r="75" ht="30" customHeight="1">
      <c r="A75" s="86"/>
      <c r="B75" s="101"/>
      <c r="C75" s="101"/>
      <c r="D75" s="101"/>
      <c r="E75" s="101"/>
      <c r="F75" s="101"/>
      <c r="G75" s="103"/>
    </row>
    <row r="76" ht="30" customHeight="1">
      <c r="A76" s="86"/>
      <c r="B76" s="101"/>
      <c r="C76" s="101"/>
      <c r="D76" s="101"/>
      <c r="E76" s="101"/>
      <c r="F76" s="101"/>
      <c r="G76" s="103"/>
    </row>
    <row r="77" ht="30" customHeight="1">
      <c r="A77" s="86"/>
      <c r="B77" s="101"/>
      <c r="C77" s="101"/>
      <c r="D77" s="101"/>
      <c r="E77" s="101"/>
      <c r="F77" s="101"/>
      <c r="G77" s="103"/>
    </row>
    <row r="78" ht="30" customHeight="1">
      <c r="A78" s="86"/>
      <c r="B78" s="101"/>
      <c r="C78" s="101"/>
      <c r="D78" s="101"/>
      <c r="E78" s="101"/>
      <c r="F78" s="101"/>
      <c r="G78" s="103"/>
    </row>
    <row r="79" ht="30" customHeight="1">
      <c r="A79" s="86"/>
      <c r="B79" s="101"/>
      <c r="C79" s="101"/>
      <c r="D79" s="101"/>
      <c r="E79" s="101"/>
      <c r="F79" s="101"/>
      <c r="G79" s="103"/>
    </row>
    <row r="80" ht="30" customHeight="1">
      <c r="A80" s="86"/>
      <c r="B80" s="101"/>
      <c r="C80" s="101"/>
      <c r="D80" s="101"/>
      <c r="E80" s="101"/>
      <c r="F80" s="101"/>
      <c r="G80" s="103"/>
    </row>
    <row r="81" ht="30" customHeight="1">
      <c r="A81" s="86"/>
      <c r="B81" s="101"/>
      <c r="C81" s="101"/>
      <c r="D81" s="101"/>
      <c r="E81" s="101"/>
      <c r="F81" s="101"/>
      <c r="G81" s="103"/>
    </row>
    <row r="82" ht="30" customHeight="1">
      <c r="A82" s="86"/>
      <c r="B82" s="101"/>
      <c r="C82" s="101"/>
      <c r="D82" s="101"/>
      <c r="E82" s="101"/>
      <c r="F82" s="101"/>
      <c r="G82" s="35"/>
    </row>
    <row r="83" ht="30" customHeight="1">
      <c r="A83" s="86"/>
      <c r="B83" s="101"/>
      <c r="C83" s="101"/>
      <c r="D83" s="107"/>
      <c r="E83" s="107"/>
      <c r="F83" s="101"/>
      <c r="G83" s="35"/>
    </row>
    <row r="84" ht="30" customHeight="1">
      <c r="A84" s="86"/>
      <c r="B84" s="101"/>
      <c r="C84" s="101"/>
      <c r="D84" s="101"/>
      <c r="E84" s="101"/>
      <c r="F84" s="101"/>
      <c r="G84" s="35"/>
    </row>
    <row r="85" ht="30" customHeight="1">
      <c r="A85" s="86"/>
      <c r="B85" s="101"/>
      <c r="C85" s="101"/>
      <c r="D85" s="101"/>
      <c r="E85" s="101"/>
      <c r="F85" s="101"/>
      <c r="G85" s="35"/>
    </row>
    <row r="86" ht="30" customHeight="1">
      <c r="A86" s="86"/>
      <c r="B86" s="101"/>
      <c r="C86" s="101"/>
      <c r="D86" s="101"/>
      <c r="E86" s="101"/>
      <c r="F86" s="101"/>
      <c r="G86" s="35"/>
    </row>
    <row r="87" ht="30" customHeight="1">
      <c r="A87" s="86"/>
      <c r="B87" s="101"/>
      <c r="C87" s="101"/>
      <c r="D87" s="101"/>
      <c r="E87" s="101"/>
      <c r="F87" s="101"/>
      <c r="G87" s="35"/>
    </row>
    <row r="88" ht="30" customHeight="1">
      <c r="A88" s="86"/>
      <c r="B88" s="101"/>
      <c r="C88" s="101"/>
      <c r="D88" s="101"/>
      <c r="E88" s="101"/>
      <c r="F88" s="101"/>
      <c r="G88" s="35"/>
    </row>
    <row r="89" ht="30" customHeight="1">
      <c r="A89" s="103"/>
      <c r="B89" s="103"/>
      <c r="C89" s="103"/>
      <c r="D89" s="108" t="s">
        <v>54</v>
      </c>
      <c r="E89" s="109">
        <f>SUM(E48:E88)</f>
        <v>0</v>
      </c>
      <c r="F89" s="109">
        <f>SUM(F48:F88)</f>
        <v>0</v>
      </c>
      <c r="G89" s="110"/>
    </row>
    <row r="90" ht="30" customHeight="1">
      <c r="A90" s="111"/>
      <c r="B90" s="111"/>
      <c r="C90" s="111"/>
      <c r="D90" s="111"/>
      <c r="E90" s="111"/>
      <c r="F90" s="111"/>
      <c r="G90" s="111"/>
    </row>
    <row r="91" ht="30" customHeight="1">
      <c r="A91" s="66" t="s">
        <v>31</v>
      </c>
      <c r="B91" s="66"/>
      <c r="C91" s="66"/>
      <c r="D91" s="66"/>
      <c r="E91" s="66"/>
      <c r="F91" s="66"/>
      <c r="G91" s="66"/>
    </row>
    <row r="92" ht="59.450000000000003" customHeight="1">
      <c r="A92" s="71" t="s">
        <v>48</v>
      </c>
      <c r="B92" s="72" t="s">
        <v>49</v>
      </c>
      <c r="C92" s="72" t="s">
        <v>50</v>
      </c>
      <c r="D92" s="93" t="s">
        <v>51</v>
      </c>
      <c r="E92" s="73" t="s">
        <v>52</v>
      </c>
      <c r="F92" s="71" t="s">
        <v>53</v>
      </c>
      <c r="G92" s="94" t="s">
        <v>17</v>
      </c>
    </row>
    <row r="93" ht="30" customHeight="1">
      <c r="A93" s="75"/>
      <c r="B93" s="75"/>
      <c r="C93" s="75"/>
      <c r="D93" s="75"/>
      <c r="E93" s="75"/>
      <c r="F93" s="95"/>
      <c r="G93" s="95"/>
    </row>
    <row r="94" ht="30" customHeight="1">
      <c r="A94" s="75"/>
      <c r="B94" s="75"/>
      <c r="C94" s="75"/>
      <c r="D94" s="75"/>
      <c r="E94" s="75"/>
      <c r="F94" s="95"/>
      <c r="G94" s="95"/>
    </row>
    <row r="95" ht="30" customHeight="1">
      <c r="A95" s="75"/>
      <c r="B95" s="75"/>
      <c r="C95" s="75"/>
      <c r="D95" s="75"/>
      <c r="E95" s="75"/>
      <c r="F95" s="95"/>
      <c r="G95" s="95"/>
    </row>
    <row r="96" ht="30" customHeight="1">
      <c r="A96" s="82"/>
      <c r="B96" s="101"/>
      <c r="C96" s="101"/>
      <c r="D96" s="102"/>
      <c r="E96" s="102"/>
      <c r="F96" s="102"/>
      <c r="G96" s="103"/>
    </row>
    <row r="97" ht="30" customHeight="1">
      <c r="A97" s="82"/>
      <c r="B97" s="101"/>
      <c r="C97" s="101"/>
      <c r="D97" s="102"/>
      <c r="E97" s="102"/>
      <c r="F97" s="102"/>
      <c r="G97" s="103"/>
    </row>
    <row r="98" ht="30" customHeight="1">
      <c r="A98" s="82"/>
      <c r="B98" s="101"/>
      <c r="C98" s="101"/>
      <c r="D98" s="102"/>
      <c r="E98" s="102"/>
      <c r="F98" s="102"/>
      <c r="G98" s="103"/>
    </row>
    <row r="99" ht="30" customHeight="1">
      <c r="A99" s="82"/>
      <c r="B99" s="101"/>
      <c r="C99" s="101"/>
      <c r="D99" s="102"/>
      <c r="E99" s="102"/>
      <c r="F99" s="102"/>
      <c r="G99" s="103"/>
    </row>
    <row r="100" ht="30" customHeight="1">
      <c r="A100" s="105"/>
      <c r="B100" s="101"/>
      <c r="C100" s="101"/>
      <c r="D100" s="102"/>
      <c r="E100" s="102"/>
      <c r="F100" s="101"/>
      <c r="G100" s="103"/>
    </row>
    <row r="101" ht="30" customHeight="1">
      <c r="A101" s="105"/>
      <c r="B101" s="101"/>
      <c r="C101" s="101"/>
      <c r="D101" s="101"/>
      <c r="E101" s="101"/>
      <c r="F101" s="101"/>
      <c r="G101" s="103"/>
    </row>
    <row r="102" ht="30" customHeight="1">
      <c r="A102" s="105"/>
      <c r="B102" s="101"/>
      <c r="C102" s="101"/>
      <c r="D102" s="102"/>
      <c r="E102" s="102"/>
      <c r="F102" s="101"/>
      <c r="G102" s="103"/>
    </row>
    <row r="103" ht="30" customHeight="1">
      <c r="A103" s="105"/>
      <c r="B103" s="101"/>
      <c r="C103" s="101"/>
      <c r="D103" s="102"/>
      <c r="E103" s="102"/>
      <c r="F103" s="101"/>
      <c r="G103" s="103"/>
    </row>
    <row r="104" ht="30" customHeight="1">
      <c r="A104" s="105"/>
      <c r="B104" s="101"/>
      <c r="C104" s="101"/>
      <c r="D104" s="102"/>
      <c r="E104" s="102"/>
      <c r="F104" s="101"/>
      <c r="G104" s="103"/>
    </row>
    <row r="105" ht="30" customHeight="1">
      <c r="A105" s="105"/>
      <c r="B105" s="101"/>
      <c r="C105" s="101"/>
      <c r="D105" s="101"/>
      <c r="E105" s="101"/>
      <c r="F105" s="101"/>
      <c r="G105" s="103"/>
    </row>
    <row r="106" ht="30" customHeight="1">
      <c r="A106" s="105"/>
      <c r="B106" s="101"/>
      <c r="C106" s="101"/>
      <c r="D106" s="102"/>
      <c r="E106" s="102"/>
      <c r="F106" s="101"/>
      <c r="G106" s="103"/>
    </row>
    <row r="107" ht="30" customHeight="1">
      <c r="A107" s="105"/>
      <c r="B107" s="101"/>
      <c r="C107" s="101"/>
      <c r="D107" s="102"/>
      <c r="E107" s="102"/>
      <c r="F107" s="101"/>
      <c r="G107" s="103"/>
    </row>
    <row r="108" ht="30" customHeight="1">
      <c r="A108" s="105"/>
      <c r="B108" s="101"/>
      <c r="C108" s="101"/>
      <c r="D108" s="102"/>
      <c r="E108" s="102"/>
      <c r="F108" s="101"/>
      <c r="G108" s="103"/>
    </row>
    <row r="109" ht="30" customHeight="1">
      <c r="A109" s="105"/>
      <c r="B109" s="101"/>
      <c r="C109" s="101"/>
      <c r="D109" s="102"/>
      <c r="E109" s="102"/>
      <c r="F109" s="101"/>
      <c r="G109" s="103"/>
    </row>
    <row r="110" ht="30" customHeight="1">
      <c r="A110" s="105"/>
      <c r="B110" s="101"/>
      <c r="C110" s="101"/>
      <c r="D110" s="102"/>
      <c r="E110" s="102"/>
      <c r="F110" s="101"/>
      <c r="G110" s="103"/>
    </row>
    <row r="111" ht="30" customHeight="1">
      <c r="A111" s="105"/>
      <c r="B111" s="101"/>
      <c r="C111" s="101"/>
      <c r="D111" s="102"/>
      <c r="E111" s="102"/>
      <c r="F111" s="101"/>
      <c r="G111" s="103"/>
    </row>
    <row r="112" ht="30" customHeight="1">
      <c r="A112" s="106"/>
      <c r="B112" s="101"/>
      <c r="C112" s="101"/>
      <c r="D112" s="102"/>
      <c r="E112" s="102"/>
      <c r="F112" s="101"/>
      <c r="G112" s="103"/>
    </row>
    <row r="113" ht="30" customHeight="1">
      <c r="A113" s="105"/>
      <c r="B113" s="101"/>
      <c r="C113" s="101"/>
      <c r="D113" s="102"/>
      <c r="E113" s="102"/>
      <c r="F113" s="101"/>
      <c r="G113" s="103"/>
    </row>
    <row r="114" ht="30" customHeight="1">
      <c r="A114" s="105"/>
      <c r="B114" s="101"/>
      <c r="C114" s="101"/>
      <c r="D114" s="102"/>
      <c r="E114" s="102"/>
      <c r="F114" s="101"/>
      <c r="G114" s="103"/>
    </row>
    <row r="115" ht="30" customHeight="1">
      <c r="A115" s="86"/>
      <c r="B115" s="101"/>
      <c r="C115" s="101"/>
      <c r="D115" s="102"/>
      <c r="E115" s="102"/>
      <c r="F115" s="101"/>
      <c r="G115" s="35"/>
    </row>
    <row r="116" ht="30" customHeight="1">
      <c r="A116" s="86"/>
      <c r="B116" s="101"/>
      <c r="C116" s="101"/>
      <c r="D116" s="102"/>
      <c r="E116" s="102"/>
      <c r="F116" s="101"/>
      <c r="G116" s="35"/>
    </row>
    <row r="117" ht="30" customHeight="1">
      <c r="A117" s="86"/>
      <c r="B117" s="101"/>
      <c r="C117" s="101"/>
      <c r="D117" s="102"/>
      <c r="E117" s="102"/>
      <c r="F117" s="101"/>
      <c r="G117" s="35"/>
    </row>
    <row r="118" ht="30" customHeight="1">
      <c r="A118" s="86"/>
      <c r="B118" s="101"/>
      <c r="C118" s="101"/>
      <c r="D118" s="101"/>
      <c r="E118" s="101"/>
      <c r="F118" s="101"/>
      <c r="G118" s="35"/>
    </row>
    <row r="119" ht="30" customHeight="1">
      <c r="A119" s="86"/>
      <c r="B119" s="101"/>
      <c r="C119" s="101"/>
      <c r="D119" s="101"/>
      <c r="E119" s="101"/>
      <c r="F119" s="101"/>
      <c r="G119" s="103"/>
    </row>
    <row r="120" ht="30" customHeight="1">
      <c r="A120" s="86"/>
      <c r="B120" s="101"/>
      <c r="C120" s="101"/>
      <c r="D120" s="101"/>
      <c r="E120" s="101"/>
      <c r="F120" s="101"/>
      <c r="G120" s="103"/>
    </row>
    <row r="121" ht="30" customHeight="1">
      <c r="A121" s="86"/>
      <c r="B121" s="101"/>
      <c r="C121" s="101"/>
      <c r="D121" s="101"/>
      <c r="E121" s="101"/>
      <c r="F121" s="101"/>
      <c r="G121" s="103"/>
    </row>
    <row r="122" ht="30" customHeight="1">
      <c r="A122" s="86"/>
      <c r="B122" s="101"/>
      <c r="C122" s="101"/>
      <c r="D122" s="101"/>
      <c r="E122" s="101"/>
      <c r="F122" s="101"/>
      <c r="G122" s="103"/>
    </row>
    <row r="123" ht="30" customHeight="1">
      <c r="A123" s="86"/>
      <c r="B123" s="101"/>
      <c r="C123" s="101"/>
      <c r="D123" s="101"/>
      <c r="E123" s="101"/>
      <c r="F123" s="101"/>
      <c r="G123" s="103"/>
    </row>
    <row r="124" ht="30" customHeight="1">
      <c r="A124" s="86"/>
      <c r="B124" s="101"/>
      <c r="C124" s="101"/>
      <c r="D124" s="101"/>
      <c r="E124" s="101"/>
      <c r="F124" s="101"/>
      <c r="G124" s="103"/>
    </row>
    <row r="125" ht="30" customHeight="1">
      <c r="A125" s="86"/>
      <c r="B125" s="101"/>
      <c r="C125" s="101"/>
      <c r="D125" s="101"/>
      <c r="E125" s="101"/>
      <c r="F125" s="101"/>
      <c r="G125" s="103"/>
    </row>
    <row r="126" ht="30" customHeight="1">
      <c r="A126" s="86"/>
      <c r="B126" s="101"/>
      <c r="C126" s="101"/>
      <c r="D126" s="101"/>
      <c r="E126" s="101"/>
      <c r="F126" s="101"/>
      <c r="G126" s="103"/>
    </row>
    <row r="127" ht="30" customHeight="1">
      <c r="A127" s="86"/>
      <c r="B127" s="101"/>
      <c r="C127" s="101"/>
      <c r="D127" s="101"/>
      <c r="E127" s="101"/>
      <c r="F127" s="101"/>
      <c r="G127" s="35"/>
    </row>
    <row r="128" ht="30" customHeight="1">
      <c r="A128" s="86"/>
      <c r="B128" s="101"/>
      <c r="C128" s="101"/>
      <c r="D128" s="107"/>
      <c r="E128" s="107"/>
      <c r="F128" s="101"/>
      <c r="G128" s="35"/>
    </row>
    <row r="129" ht="30" customHeight="1">
      <c r="A129" s="86"/>
      <c r="B129" s="101"/>
      <c r="C129" s="101"/>
      <c r="D129" s="101"/>
      <c r="E129" s="101"/>
      <c r="F129" s="101"/>
      <c r="G129" s="35"/>
    </row>
    <row r="130" ht="30" customHeight="1">
      <c r="A130" s="86"/>
      <c r="B130" s="101"/>
      <c r="C130" s="101"/>
      <c r="D130" s="101"/>
      <c r="E130" s="101"/>
      <c r="F130" s="101"/>
      <c r="G130" s="35"/>
    </row>
    <row r="131" ht="30" customHeight="1">
      <c r="A131" s="86"/>
      <c r="B131" s="101"/>
      <c r="C131" s="101"/>
      <c r="D131" s="101"/>
      <c r="E131" s="101"/>
      <c r="F131" s="101"/>
      <c r="G131" s="35"/>
    </row>
    <row r="132" ht="30" customHeight="1">
      <c r="A132" s="86"/>
      <c r="B132" s="101"/>
      <c r="C132" s="101"/>
      <c r="D132" s="101"/>
      <c r="E132" s="101"/>
      <c r="F132" s="101"/>
      <c r="G132" s="35"/>
    </row>
    <row r="133" ht="30" customHeight="1">
      <c r="A133" s="86"/>
      <c r="B133" s="101"/>
      <c r="C133" s="101"/>
      <c r="D133" s="101"/>
      <c r="E133" s="101"/>
      <c r="F133" s="101"/>
      <c r="G133" s="35"/>
    </row>
    <row r="134" ht="30" customHeight="1">
      <c r="A134" s="103"/>
      <c r="B134" s="103"/>
      <c r="C134" s="103"/>
      <c r="D134" s="108" t="s">
        <v>54</v>
      </c>
      <c r="E134" s="109">
        <f>SUM(E93:E133)</f>
        <v>0</v>
      </c>
      <c r="F134" s="109">
        <f>SUM(F93:F133)</f>
        <v>0</v>
      </c>
      <c r="G134" s="110"/>
    </row>
    <row r="135" ht="30" customHeight="1">
      <c r="A135" s="111"/>
      <c r="B135" s="111"/>
      <c r="C135" s="111"/>
      <c r="D135" s="111"/>
      <c r="E135" s="111"/>
      <c r="F135" s="111"/>
      <c r="G135" s="111"/>
    </row>
    <row r="136" ht="30" customHeight="1">
      <c r="A136" s="66" t="s">
        <v>33</v>
      </c>
      <c r="B136" s="66"/>
      <c r="C136" s="66"/>
      <c r="D136" s="66"/>
      <c r="E136" s="66"/>
      <c r="F136" s="66"/>
      <c r="G136" s="66"/>
    </row>
    <row r="137" ht="57" customHeight="1">
      <c r="A137" s="71" t="s">
        <v>48</v>
      </c>
      <c r="B137" s="72" t="s">
        <v>49</v>
      </c>
      <c r="C137" s="72" t="s">
        <v>50</v>
      </c>
      <c r="D137" s="93" t="s">
        <v>51</v>
      </c>
      <c r="E137" s="73" t="s">
        <v>52</v>
      </c>
      <c r="F137" s="71" t="s">
        <v>53</v>
      </c>
      <c r="G137" s="94" t="s">
        <v>17</v>
      </c>
    </row>
    <row r="138" ht="30" customHeight="1">
      <c r="A138" s="75"/>
      <c r="B138" s="75"/>
      <c r="C138" s="75"/>
      <c r="D138" s="75"/>
      <c r="E138" s="75"/>
      <c r="F138" s="95"/>
      <c r="G138" s="95"/>
    </row>
    <row r="139" ht="30" customHeight="1">
      <c r="A139" s="75"/>
      <c r="B139" s="75"/>
      <c r="C139" s="75"/>
      <c r="D139" s="75"/>
      <c r="E139" s="75"/>
      <c r="F139" s="95"/>
      <c r="G139" s="95"/>
    </row>
    <row r="140" ht="30" customHeight="1">
      <c r="A140" s="75"/>
      <c r="B140" s="75"/>
      <c r="C140" s="75"/>
      <c r="D140" s="75"/>
      <c r="E140" s="75"/>
      <c r="F140" s="95"/>
      <c r="G140" s="95"/>
    </row>
    <row r="141" ht="30" customHeight="1">
      <c r="A141" s="82"/>
      <c r="B141" s="101"/>
      <c r="C141" s="101"/>
      <c r="D141" s="102"/>
      <c r="E141" s="102"/>
      <c r="F141" s="102"/>
      <c r="G141" s="103"/>
    </row>
    <row r="142" ht="30" customHeight="1">
      <c r="A142" s="82"/>
      <c r="B142" s="101"/>
      <c r="C142" s="101"/>
      <c r="D142" s="102"/>
      <c r="E142" s="102"/>
      <c r="F142" s="102"/>
      <c r="G142" s="103"/>
    </row>
    <row r="143" ht="30" customHeight="1">
      <c r="A143" s="82"/>
      <c r="B143" s="101"/>
      <c r="C143" s="101"/>
      <c r="D143" s="102"/>
      <c r="E143" s="102"/>
      <c r="F143" s="102"/>
      <c r="G143" s="103"/>
    </row>
    <row r="144" ht="30" customHeight="1">
      <c r="A144" s="82"/>
      <c r="B144" s="101"/>
      <c r="C144" s="101"/>
      <c r="D144" s="102"/>
      <c r="E144" s="102"/>
      <c r="F144" s="102"/>
      <c r="G144" s="103"/>
    </row>
    <row r="145" ht="30" customHeight="1">
      <c r="A145" s="105"/>
      <c r="B145" s="101"/>
      <c r="C145" s="101"/>
      <c r="D145" s="102"/>
      <c r="E145" s="102"/>
      <c r="F145" s="101"/>
      <c r="G145" s="103"/>
    </row>
    <row r="146" ht="30" customHeight="1">
      <c r="A146" s="105"/>
      <c r="B146" s="101"/>
      <c r="C146" s="101"/>
      <c r="D146" s="101"/>
      <c r="E146" s="101"/>
      <c r="F146" s="101"/>
      <c r="G146" s="103"/>
    </row>
    <row r="147" ht="30" customHeight="1">
      <c r="A147" s="105"/>
      <c r="B147" s="101"/>
      <c r="C147" s="101"/>
      <c r="D147" s="102"/>
      <c r="E147" s="102"/>
      <c r="F147" s="101"/>
      <c r="G147" s="103"/>
    </row>
    <row r="148" ht="30" customHeight="1">
      <c r="A148" s="105"/>
      <c r="B148" s="101"/>
      <c r="C148" s="101"/>
      <c r="D148" s="102"/>
      <c r="E148" s="102"/>
      <c r="F148" s="101"/>
      <c r="G148" s="103"/>
    </row>
    <row r="149" ht="30" customHeight="1">
      <c r="A149" s="105"/>
      <c r="B149" s="101"/>
      <c r="C149" s="101"/>
      <c r="D149" s="102"/>
      <c r="E149" s="102"/>
      <c r="F149" s="101"/>
      <c r="G149" s="103"/>
    </row>
    <row r="150" ht="30" customHeight="1">
      <c r="A150" s="105"/>
      <c r="B150" s="101"/>
      <c r="C150" s="101"/>
      <c r="D150" s="101"/>
      <c r="E150" s="101"/>
      <c r="F150" s="101"/>
      <c r="G150" s="103"/>
    </row>
    <row r="151" ht="30" customHeight="1">
      <c r="A151" s="105"/>
      <c r="B151" s="101"/>
      <c r="C151" s="101"/>
      <c r="D151" s="102"/>
      <c r="E151" s="102"/>
      <c r="F151" s="101"/>
      <c r="G151" s="103"/>
    </row>
    <row r="152" ht="30" customHeight="1">
      <c r="A152" s="105"/>
      <c r="B152" s="101"/>
      <c r="C152" s="101"/>
      <c r="D152" s="102"/>
      <c r="E152" s="102"/>
      <c r="F152" s="101"/>
      <c r="G152" s="103"/>
    </row>
    <row r="153" ht="30" customHeight="1">
      <c r="A153" s="105"/>
      <c r="B153" s="101"/>
      <c r="C153" s="101"/>
      <c r="D153" s="102"/>
      <c r="E153" s="102"/>
      <c r="F153" s="101"/>
      <c r="G153" s="103"/>
    </row>
    <row r="154" ht="30" customHeight="1">
      <c r="A154" s="105"/>
      <c r="B154" s="101"/>
      <c r="C154" s="101"/>
      <c r="D154" s="102"/>
      <c r="E154" s="102"/>
      <c r="F154" s="101"/>
      <c r="G154" s="103"/>
    </row>
    <row r="155" ht="30" customHeight="1">
      <c r="A155" s="105"/>
      <c r="B155" s="101"/>
      <c r="C155" s="101"/>
      <c r="D155" s="102"/>
      <c r="E155" s="102"/>
      <c r="F155" s="101"/>
      <c r="G155" s="103"/>
    </row>
    <row r="156" ht="30" customHeight="1">
      <c r="A156" s="105"/>
      <c r="B156" s="101"/>
      <c r="C156" s="101"/>
      <c r="D156" s="102"/>
      <c r="E156" s="102"/>
      <c r="F156" s="101"/>
      <c r="G156" s="103"/>
    </row>
    <row r="157" ht="30" customHeight="1">
      <c r="A157" s="106"/>
      <c r="B157" s="101"/>
      <c r="C157" s="101"/>
      <c r="D157" s="102"/>
      <c r="E157" s="102"/>
      <c r="F157" s="101"/>
      <c r="G157" s="103"/>
    </row>
    <row r="158" ht="30" customHeight="1">
      <c r="A158" s="105"/>
      <c r="B158" s="101"/>
      <c r="C158" s="101"/>
      <c r="D158" s="102"/>
      <c r="E158" s="102"/>
      <c r="F158" s="101"/>
      <c r="G158" s="103"/>
    </row>
    <row r="159" ht="30" customHeight="1">
      <c r="A159" s="105"/>
      <c r="B159" s="101"/>
      <c r="C159" s="101"/>
      <c r="D159" s="102"/>
      <c r="E159" s="102"/>
      <c r="F159" s="101"/>
      <c r="G159" s="103"/>
    </row>
    <row r="160" ht="30" customHeight="1">
      <c r="A160" s="86"/>
      <c r="B160" s="101"/>
      <c r="C160" s="101"/>
      <c r="D160" s="102"/>
      <c r="E160" s="102"/>
      <c r="F160" s="101"/>
      <c r="G160" s="35"/>
    </row>
    <row r="161" ht="30" customHeight="1">
      <c r="A161" s="86"/>
      <c r="B161" s="101"/>
      <c r="C161" s="101"/>
      <c r="D161" s="102"/>
      <c r="E161" s="102"/>
      <c r="F161" s="101"/>
      <c r="G161" s="35"/>
    </row>
    <row r="162" ht="30" customHeight="1">
      <c r="A162" s="86"/>
      <c r="B162" s="101"/>
      <c r="C162" s="101"/>
      <c r="D162" s="102"/>
      <c r="E162" s="102"/>
      <c r="F162" s="101"/>
      <c r="G162" s="35"/>
    </row>
    <row r="163" ht="30" customHeight="1">
      <c r="A163" s="86"/>
      <c r="B163" s="101"/>
      <c r="C163" s="101"/>
      <c r="D163" s="101"/>
      <c r="E163" s="101"/>
      <c r="F163" s="101"/>
      <c r="G163" s="35"/>
    </row>
    <row r="164" ht="30" customHeight="1">
      <c r="A164" s="86"/>
      <c r="B164" s="101"/>
      <c r="C164" s="101"/>
      <c r="D164" s="101"/>
      <c r="E164" s="101"/>
      <c r="F164" s="101"/>
      <c r="G164" s="103"/>
    </row>
    <row r="165" ht="30" customHeight="1">
      <c r="A165" s="86"/>
      <c r="B165" s="101"/>
      <c r="C165" s="101"/>
      <c r="D165" s="101"/>
      <c r="E165" s="101"/>
      <c r="F165" s="101"/>
      <c r="G165" s="103"/>
    </row>
    <row r="166" ht="30" customHeight="1">
      <c r="A166" s="86"/>
      <c r="B166" s="101"/>
      <c r="C166" s="101"/>
      <c r="D166" s="101"/>
      <c r="E166" s="101"/>
      <c r="F166" s="101"/>
      <c r="G166" s="103"/>
    </row>
    <row r="167" ht="30" customHeight="1">
      <c r="A167" s="86"/>
      <c r="B167" s="101"/>
      <c r="C167" s="101"/>
      <c r="D167" s="101"/>
      <c r="E167" s="101"/>
      <c r="F167" s="101"/>
      <c r="G167" s="103"/>
    </row>
    <row r="168" ht="30" customHeight="1">
      <c r="A168" s="86"/>
      <c r="B168" s="101"/>
      <c r="C168" s="101"/>
      <c r="D168" s="101"/>
      <c r="E168" s="101"/>
      <c r="F168" s="101"/>
      <c r="G168" s="103"/>
    </row>
    <row r="169" ht="30" customHeight="1">
      <c r="A169" s="86"/>
      <c r="B169" s="101"/>
      <c r="C169" s="101"/>
      <c r="D169" s="101"/>
      <c r="E169" s="101"/>
      <c r="F169" s="101"/>
      <c r="G169" s="103"/>
    </row>
    <row r="170" ht="30" customHeight="1">
      <c r="A170" s="86"/>
      <c r="B170" s="101"/>
      <c r="C170" s="101"/>
      <c r="D170" s="101"/>
      <c r="E170" s="101"/>
      <c r="F170" s="101"/>
      <c r="G170" s="103"/>
    </row>
    <row r="171" ht="30" customHeight="1">
      <c r="A171" s="86"/>
      <c r="B171" s="101"/>
      <c r="C171" s="101"/>
      <c r="D171" s="101"/>
      <c r="E171" s="101"/>
      <c r="F171" s="101"/>
      <c r="G171" s="103"/>
    </row>
    <row r="172" ht="30" customHeight="1">
      <c r="A172" s="86"/>
      <c r="B172" s="101"/>
      <c r="C172" s="101"/>
      <c r="D172" s="101"/>
      <c r="E172" s="101"/>
      <c r="F172" s="101"/>
      <c r="G172" s="35"/>
    </row>
    <row r="173" ht="30" customHeight="1">
      <c r="A173" s="86"/>
      <c r="B173" s="101"/>
      <c r="C173" s="101"/>
      <c r="D173" s="107"/>
      <c r="E173" s="107"/>
      <c r="F173" s="101"/>
      <c r="G173" s="35"/>
    </row>
    <row r="174" ht="30" customHeight="1">
      <c r="A174" s="86"/>
      <c r="B174" s="101"/>
      <c r="C174" s="101"/>
      <c r="D174" s="101"/>
      <c r="E174" s="101"/>
      <c r="F174" s="101"/>
      <c r="G174" s="35"/>
    </row>
    <row r="175" ht="30" customHeight="1">
      <c r="A175" s="86"/>
      <c r="B175" s="101"/>
      <c r="C175" s="101"/>
      <c r="D175" s="101"/>
      <c r="E175" s="101"/>
      <c r="F175" s="101"/>
      <c r="G175" s="35"/>
    </row>
    <row r="176" ht="30" customHeight="1">
      <c r="A176" s="86"/>
      <c r="B176" s="101"/>
      <c r="C176" s="101"/>
      <c r="D176" s="101"/>
      <c r="E176" s="101"/>
      <c r="F176" s="101"/>
      <c r="G176" s="35"/>
    </row>
    <row r="177" ht="30" customHeight="1">
      <c r="A177" s="86"/>
      <c r="B177" s="101"/>
      <c r="C177" s="101"/>
      <c r="D177" s="101"/>
      <c r="E177" s="101"/>
      <c r="F177" s="101"/>
      <c r="G177" s="35"/>
    </row>
    <row r="178" ht="30" customHeight="1">
      <c r="A178" s="86"/>
      <c r="B178" s="101"/>
      <c r="C178" s="101"/>
      <c r="D178" s="101"/>
      <c r="E178" s="101"/>
      <c r="F178" s="101"/>
      <c r="G178" s="35"/>
    </row>
    <row r="179" ht="30" customHeight="1">
      <c r="A179" s="103"/>
      <c r="B179" s="103"/>
      <c r="C179" s="103"/>
      <c r="D179" s="108" t="s">
        <v>54</v>
      </c>
      <c r="E179" s="109">
        <f>SUM(E138:E178)</f>
        <v>0</v>
      </c>
      <c r="F179" s="109">
        <f>SUM(F138:F178)</f>
        <v>0</v>
      </c>
      <c r="G179" s="110"/>
    </row>
    <row r="180" ht="30" customHeight="1">
      <c r="A180" s="111"/>
      <c r="B180" s="111"/>
      <c r="C180" s="111"/>
      <c r="D180" s="111"/>
      <c r="E180" s="111"/>
      <c r="F180" s="111"/>
      <c r="G180" s="111"/>
    </row>
    <row r="181" ht="30" customHeight="1">
      <c r="A181" s="66" t="s">
        <v>34</v>
      </c>
      <c r="B181" s="66"/>
      <c r="C181" s="66"/>
      <c r="D181" s="66"/>
      <c r="E181" s="66"/>
      <c r="F181" s="66"/>
      <c r="G181" s="66"/>
    </row>
    <row r="182" ht="57" customHeight="1">
      <c r="A182" s="71" t="s">
        <v>48</v>
      </c>
      <c r="B182" s="72" t="s">
        <v>49</v>
      </c>
      <c r="C182" s="72" t="s">
        <v>50</v>
      </c>
      <c r="D182" s="93" t="s">
        <v>51</v>
      </c>
      <c r="E182" s="73" t="s">
        <v>52</v>
      </c>
      <c r="F182" s="71" t="s">
        <v>53</v>
      </c>
      <c r="G182" s="94" t="s">
        <v>17</v>
      </c>
    </row>
    <row r="183" ht="30" customHeight="1">
      <c r="A183" s="75"/>
      <c r="B183" s="75"/>
      <c r="C183" s="75"/>
      <c r="D183" s="75"/>
      <c r="E183" s="75"/>
      <c r="F183" s="95"/>
      <c r="G183" s="95"/>
    </row>
    <row r="184" ht="30" customHeight="1">
      <c r="A184" s="75"/>
      <c r="B184" s="75"/>
      <c r="C184" s="75"/>
      <c r="D184" s="75"/>
      <c r="E184" s="75"/>
      <c r="F184" s="95"/>
      <c r="G184" s="95"/>
    </row>
    <row r="185" ht="30" customHeight="1">
      <c r="A185" s="75"/>
      <c r="B185" s="75"/>
      <c r="C185" s="75"/>
      <c r="D185" s="75"/>
      <c r="E185" s="75"/>
      <c r="F185" s="95"/>
      <c r="G185" s="95"/>
    </row>
    <row r="186" ht="30" customHeight="1">
      <c r="A186" s="82"/>
      <c r="B186" s="101"/>
      <c r="C186" s="101"/>
      <c r="D186" s="102"/>
      <c r="E186" s="102"/>
      <c r="F186" s="102"/>
      <c r="G186" s="103"/>
    </row>
    <row r="187" ht="30" customHeight="1">
      <c r="A187" s="82"/>
      <c r="B187" s="101"/>
      <c r="C187" s="101"/>
      <c r="D187" s="102"/>
      <c r="E187" s="102"/>
      <c r="F187" s="102"/>
      <c r="G187" s="103"/>
    </row>
    <row r="188" ht="30" customHeight="1">
      <c r="A188" s="82"/>
      <c r="B188" s="101"/>
      <c r="C188" s="101"/>
      <c r="D188" s="102"/>
      <c r="E188" s="102"/>
      <c r="F188" s="102"/>
      <c r="G188" s="103"/>
    </row>
    <row r="189" ht="30" customHeight="1">
      <c r="A189" s="82"/>
      <c r="B189" s="101"/>
      <c r="C189" s="101"/>
      <c r="D189" s="102"/>
      <c r="E189" s="102"/>
      <c r="F189" s="102"/>
      <c r="G189" s="103"/>
    </row>
    <row r="190" ht="30" customHeight="1">
      <c r="A190" s="105"/>
      <c r="B190" s="101"/>
      <c r="C190" s="101"/>
      <c r="D190" s="102"/>
      <c r="E190" s="102"/>
      <c r="F190" s="101"/>
      <c r="G190" s="103"/>
    </row>
    <row r="191" ht="30" customHeight="1">
      <c r="A191" s="105"/>
      <c r="B191" s="101"/>
      <c r="C191" s="101"/>
      <c r="D191" s="101"/>
      <c r="E191" s="101"/>
      <c r="F191" s="101"/>
      <c r="G191" s="103"/>
    </row>
    <row r="192" ht="30" customHeight="1">
      <c r="A192" s="105"/>
      <c r="B192" s="101"/>
      <c r="C192" s="101"/>
      <c r="D192" s="102"/>
      <c r="E192" s="102"/>
      <c r="F192" s="101"/>
      <c r="G192" s="103"/>
    </row>
    <row r="193" ht="30" customHeight="1">
      <c r="A193" s="105"/>
      <c r="B193" s="101"/>
      <c r="C193" s="101"/>
      <c r="D193" s="102"/>
      <c r="E193" s="102"/>
      <c r="F193" s="101"/>
      <c r="G193" s="103"/>
    </row>
    <row r="194" ht="30" customHeight="1">
      <c r="A194" s="105"/>
      <c r="B194" s="101"/>
      <c r="C194" s="101"/>
      <c r="D194" s="102"/>
      <c r="E194" s="102"/>
      <c r="F194" s="101"/>
      <c r="G194" s="103"/>
    </row>
    <row r="195" ht="30" customHeight="1">
      <c r="A195" s="105"/>
      <c r="B195" s="101"/>
      <c r="C195" s="101"/>
      <c r="D195" s="101"/>
      <c r="E195" s="101"/>
      <c r="F195" s="101"/>
      <c r="G195" s="103"/>
    </row>
    <row r="196" ht="30" customHeight="1">
      <c r="A196" s="105"/>
      <c r="B196" s="101"/>
      <c r="C196" s="101"/>
      <c r="D196" s="102"/>
      <c r="E196" s="102"/>
      <c r="F196" s="101"/>
      <c r="G196" s="103"/>
    </row>
    <row r="197" ht="30" customHeight="1">
      <c r="A197" s="105"/>
      <c r="B197" s="101"/>
      <c r="C197" s="101"/>
      <c r="D197" s="102"/>
      <c r="E197" s="102"/>
      <c r="F197" s="101"/>
      <c r="G197" s="103"/>
    </row>
    <row r="198" ht="30" customHeight="1">
      <c r="A198" s="105"/>
      <c r="B198" s="101"/>
      <c r="C198" s="101"/>
      <c r="D198" s="102"/>
      <c r="E198" s="102"/>
      <c r="F198" s="101"/>
      <c r="G198" s="103"/>
    </row>
    <row r="199" ht="30" customHeight="1">
      <c r="A199" s="105"/>
      <c r="B199" s="101"/>
      <c r="C199" s="101"/>
      <c r="D199" s="102"/>
      <c r="E199" s="102"/>
      <c r="F199" s="101"/>
      <c r="G199" s="103"/>
    </row>
    <row r="200" ht="30" customHeight="1">
      <c r="A200" s="105"/>
      <c r="B200" s="101"/>
      <c r="C200" s="101"/>
      <c r="D200" s="102"/>
      <c r="E200" s="102"/>
      <c r="F200" s="101"/>
      <c r="G200" s="103"/>
    </row>
    <row r="201" ht="30" customHeight="1">
      <c r="A201" s="105"/>
      <c r="B201" s="101"/>
      <c r="C201" s="101"/>
      <c r="D201" s="102"/>
      <c r="E201" s="102"/>
      <c r="F201" s="101"/>
      <c r="G201" s="103"/>
    </row>
    <row r="202" ht="30" customHeight="1">
      <c r="A202" s="106"/>
      <c r="B202" s="101"/>
      <c r="C202" s="101"/>
      <c r="D202" s="102"/>
      <c r="E202" s="102"/>
      <c r="F202" s="101"/>
      <c r="G202" s="103"/>
    </row>
    <row r="203" ht="30" customHeight="1">
      <c r="A203" s="105"/>
      <c r="B203" s="101"/>
      <c r="C203" s="101"/>
      <c r="D203" s="102"/>
      <c r="E203" s="102"/>
      <c r="F203" s="101"/>
      <c r="G203" s="103"/>
    </row>
    <row r="204" ht="30" customHeight="1">
      <c r="A204" s="105"/>
      <c r="B204" s="101"/>
      <c r="C204" s="101"/>
      <c r="D204" s="102"/>
      <c r="E204" s="102"/>
      <c r="F204" s="101"/>
      <c r="G204" s="103"/>
    </row>
    <row r="205" ht="30" customHeight="1">
      <c r="A205" s="86"/>
      <c r="B205" s="101"/>
      <c r="C205" s="101"/>
      <c r="D205" s="102"/>
      <c r="E205" s="102"/>
      <c r="F205" s="101"/>
      <c r="G205" s="35"/>
    </row>
    <row r="206" ht="30" customHeight="1">
      <c r="A206" s="86"/>
      <c r="B206" s="101"/>
      <c r="C206" s="101"/>
      <c r="D206" s="102"/>
      <c r="E206" s="102"/>
      <c r="F206" s="101"/>
      <c r="G206" s="35"/>
    </row>
    <row r="207" ht="30" customHeight="1">
      <c r="A207" s="86"/>
      <c r="B207" s="101"/>
      <c r="C207" s="101"/>
      <c r="D207" s="102"/>
      <c r="E207" s="102"/>
      <c r="F207" s="101"/>
      <c r="G207" s="35"/>
    </row>
    <row r="208" ht="30" customHeight="1">
      <c r="A208" s="86"/>
      <c r="B208" s="101"/>
      <c r="C208" s="101"/>
      <c r="D208" s="101"/>
      <c r="E208" s="101"/>
      <c r="F208" s="101"/>
      <c r="G208" s="35"/>
    </row>
    <row r="209" ht="30" customHeight="1">
      <c r="A209" s="86"/>
      <c r="B209" s="101"/>
      <c r="C209" s="101"/>
      <c r="D209" s="101"/>
      <c r="E209" s="101"/>
      <c r="F209" s="101"/>
      <c r="G209" s="103"/>
    </row>
    <row r="210" ht="30" customHeight="1">
      <c r="A210" s="86"/>
      <c r="B210" s="101"/>
      <c r="C210" s="101"/>
      <c r="D210" s="101"/>
      <c r="E210" s="101"/>
      <c r="F210" s="101"/>
      <c r="G210" s="103"/>
    </row>
    <row r="211" ht="30" customHeight="1">
      <c r="A211" s="86"/>
      <c r="B211" s="101"/>
      <c r="C211" s="101"/>
      <c r="D211" s="101"/>
      <c r="E211" s="101"/>
      <c r="F211" s="101"/>
      <c r="G211" s="103"/>
    </row>
    <row r="212" ht="30" customHeight="1">
      <c r="A212" s="86"/>
      <c r="B212" s="101"/>
      <c r="C212" s="101"/>
      <c r="D212" s="101"/>
      <c r="E212" s="101"/>
      <c r="F212" s="101"/>
      <c r="G212" s="103"/>
    </row>
    <row r="213" ht="30" customHeight="1">
      <c r="A213" s="86"/>
      <c r="B213" s="101"/>
      <c r="C213" s="101"/>
      <c r="D213" s="101"/>
      <c r="E213" s="101"/>
      <c r="F213" s="101"/>
      <c r="G213" s="103"/>
    </row>
    <row r="214" ht="30" customHeight="1">
      <c r="A214" s="86"/>
      <c r="B214" s="101"/>
      <c r="C214" s="101"/>
      <c r="D214" s="101"/>
      <c r="E214" s="101"/>
      <c r="F214" s="101"/>
      <c r="G214" s="103"/>
    </row>
    <row r="215" ht="30" customHeight="1">
      <c r="A215" s="86"/>
      <c r="B215" s="101"/>
      <c r="C215" s="101"/>
      <c r="D215" s="101"/>
      <c r="E215" s="101"/>
      <c r="F215" s="101"/>
      <c r="G215" s="103"/>
    </row>
    <row r="216" ht="30" customHeight="1">
      <c r="A216" s="86"/>
      <c r="B216" s="101"/>
      <c r="C216" s="101"/>
      <c r="D216" s="101"/>
      <c r="E216" s="101"/>
      <c r="F216" s="101"/>
      <c r="G216" s="103"/>
    </row>
    <row r="217" ht="30" customHeight="1">
      <c r="A217" s="86"/>
      <c r="B217" s="101"/>
      <c r="C217" s="101"/>
      <c r="D217" s="101"/>
      <c r="E217" s="101"/>
      <c r="F217" s="101"/>
      <c r="G217" s="35"/>
    </row>
    <row r="218" ht="30" customHeight="1">
      <c r="A218" s="86"/>
      <c r="B218" s="101"/>
      <c r="C218" s="101"/>
      <c r="D218" s="107"/>
      <c r="E218" s="107"/>
      <c r="F218" s="101"/>
      <c r="G218" s="35"/>
    </row>
    <row r="219" ht="30" customHeight="1">
      <c r="A219" s="86"/>
      <c r="B219" s="101"/>
      <c r="C219" s="101"/>
      <c r="D219" s="101"/>
      <c r="E219" s="101"/>
      <c r="F219" s="101"/>
      <c r="G219" s="35"/>
    </row>
    <row r="220" ht="30" customHeight="1">
      <c r="A220" s="86"/>
      <c r="B220" s="101"/>
      <c r="C220" s="101"/>
      <c r="D220" s="101"/>
      <c r="E220" s="101"/>
      <c r="F220" s="101"/>
      <c r="G220" s="35"/>
    </row>
    <row r="221" ht="30" customHeight="1">
      <c r="A221" s="86"/>
      <c r="B221" s="101"/>
      <c r="C221" s="101"/>
      <c r="D221" s="101"/>
      <c r="E221" s="101"/>
      <c r="F221" s="101"/>
      <c r="G221" s="35"/>
    </row>
    <row r="222" ht="30" customHeight="1">
      <c r="A222" s="86"/>
      <c r="B222" s="101"/>
      <c r="C222" s="101"/>
      <c r="D222" s="101"/>
      <c r="E222" s="101"/>
      <c r="F222" s="101"/>
      <c r="G222" s="35"/>
    </row>
    <row r="223" ht="30" customHeight="1">
      <c r="A223" s="86"/>
      <c r="B223" s="101"/>
      <c r="C223" s="101"/>
      <c r="D223" s="101"/>
      <c r="E223" s="101"/>
      <c r="F223" s="101"/>
      <c r="G223" s="35"/>
    </row>
    <row r="224" ht="30" customHeight="1">
      <c r="A224" s="103"/>
      <c r="B224" s="103"/>
      <c r="C224" s="103"/>
      <c r="D224" s="108" t="s">
        <v>54</v>
      </c>
      <c r="E224" s="109">
        <f>SUM(E183:E223)</f>
        <v>0</v>
      </c>
      <c r="F224" s="109">
        <f>SUM(F183:F223)</f>
        <v>0</v>
      </c>
      <c r="G224" s="110"/>
      <c r="J224" s="67"/>
      <c r="K224" s="68"/>
    </row>
  </sheetData>
  <mergeCells count="7">
    <mergeCell ref="A1:G1"/>
    <mergeCell ref="J3:K3"/>
    <mergeCell ref="H23:H24"/>
    <mergeCell ref="A46:G46"/>
    <mergeCell ref="A91:G91"/>
    <mergeCell ref="A136:G136"/>
    <mergeCell ref="A181:G181"/>
  </mergeCells>
  <dataValidations count="1" disablePrompts="0">
    <dataValidation sqref="D3:D43 D48:D88 D93:D133 D138:D178 D183:D223" type="list" allowBlank="1" errorStyle="stop" imeMode="noControl" operator="between" showDropDown="0" showErrorMessage="1" showInputMessage="1">
      <formula1>'данные для выпад списка'!$C$5:$C$13</formula1>
    </dataValidation>
  </dataValidation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0" verticalDpi="0" copies="1"/>
  <headerFooter/>
  <extLst>
    <ext uri="{231B7EB2-2AFC-4442-B178-5FFDF5851E7C}">
      <userProtectedRanges>
        <userProtectedRange name="ОКсводтабл" sqref="J3:K8">
          <users>
            <user id="1476131511" name="ЦСО Калуга"/>
          </users>
        </userProtectedRange>
        <userProtectedRange name="ОКтабл1" sqref="A1:G2">
          <users>
            <user id="1476131511" name="ЦСО Калуга"/>
          </users>
        </userProtectedRange>
        <userProtectedRange name="ОКитог1" sqref="D44:G44">
          <users>
            <user id="1476131511" name="ЦСО Калуга"/>
          </users>
        </userProtectedRange>
        <userProtectedRange name="ОКтабл2" sqref="A46:G47">
          <users>
            <user id="1476131511" name="ЦСО Калуга"/>
          </users>
        </userProtectedRange>
        <userProtectedRange name="ОКитог2" sqref="D89:G89">
          <users>
            <user id="1476131511" name="ЦСО Калуга"/>
          </users>
        </userProtectedRange>
        <userProtectedRange name="ОКтабл3" sqref="A91:G92">
          <users>
            <user id="1476131511" name="ЦСО Калуга"/>
          </users>
        </userProtectedRange>
        <userProtectedRange name="ОКитог3" sqref="D134:G134">
          <users>
            <user id="1476131511" name="ЦСО Калуга"/>
          </users>
        </userProtectedRange>
        <userProtectedRange name="ОКтабл4" sqref="A136:G137">
          <users>
            <user id="1476131511" name="ЦСО Калуга"/>
          </users>
        </userProtectedRange>
        <userProtectedRange name="ОКитог4" sqref="D179:G179">
          <users>
            <user id="1476131511" name="ЦСО Калуга"/>
          </users>
        </userProtectedRange>
        <userProtectedRange name="ОКтабл5" sqref="A181:G182">
          <users>
            <user id="1476131511" name="ЦСО Калуга"/>
          </users>
        </userProtectedRange>
        <userProtectedRange name="ОКитог5" sqref="D224:G224">
          <users>
            <user id="1476131511" name="ЦСО Калуга"/>
          </users>
        </userProtectedRange>
      </userProtectedRange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" zoomScale="100" workbookViewId="0">
      <selection activeCell="C22" activeCellId="0" sqref="C22"/>
    </sheetView>
  </sheetViews>
  <sheetFormatPr defaultRowHeight="14.25"/>
  <cols>
    <col customWidth="1" min="1" max="1" width="111.85546875"/>
    <col customWidth="1" min="3" max="3" width="82.28515625"/>
  </cols>
  <sheetData>
    <row r="4">
      <c r="A4" s="112" t="s">
        <v>55</v>
      </c>
      <c r="C4" s="112" t="s">
        <v>56</v>
      </c>
    </row>
    <row r="5" ht="15">
      <c r="A5" s="113" t="s">
        <v>57</v>
      </c>
      <c r="B5" s="114"/>
      <c r="C5" s="113" t="s">
        <v>57</v>
      </c>
    </row>
    <row r="6" ht="15">
      <c r="A6" s="113" t="s">
        <v>58</v>
      </c>
      <c r="B6" s="114"/>
      <c r="C6" s="113" t="s">
        <v>59</v>
      </c>
    </row>
    <row r="7" ht="15">
      <c r="A7" s="113" t="s">
        <v>60</v>
      </c>
      <c r="B7" s="114"/>
      <c r="C7" s="113" t="s">
        <v>61</v>
      </c>
    </row>
    <row r="8" ht="15">
      <c r="A8" s="113" t="s">
        <v>62</v>
      </c>
      <c r="B8" s="114"/>
      <c r="C8" s="113" t="s">
        <v>60</v>
      </c>
    </row>
    <row r="9" ht="30">
      <c r="A9" s="113" t="s">
        <v>63</v>
      </c>
      <c r="B9" s="114"/>
      <c r="C9" s="113" t="s">
        <v>62</v>
      </c>
    </row>
    <row r="10" ht="30">
      <c r="A10" s="113" t="s">
        <v>64</v>
      </c>
      <c r="B10" s="114"/>
      <c r="C10" s="113" t="s">
        <v>63</v>
      </c>
    </row>
    <row r="11" ht="30">
      <c r="A11" s="113" t="s">
        <v>65</v>
      </c>
      <c r="B11" s="114"/>
      <c r="C11" s="113" t="s">
        <v>64</v>
      </c>
    </row>
    <row r="12" ht="15">
      <c r="A12" s="113" t="s">
        <v>66</v>
      </c>
      <c r="B12" s="114"/>
      <c r="C12" s="113" t="s">
        <v>65</v>
      </c>
    </row>
    <row r="13" ht="15">
      <c r="C13" s="115" t="s">
        <v>66</v>
      </c>
    </row>
    <row r="14">
      <c r="A14" s="112" t="s">
        <v>67</v>
      </c>
      <c r="C14" s="112" t="s">
        <v>68</v>
      </c>
    </row>
    <row r="15" ht="15">
      <c r="A15" s="116" t="s">
        <v>57</v>
      </c>
      <c r="B15" s="1"/>
      <c r="C15" s="117" t="s">
        <v>57</v>
      </c>
    </row>
    <row r="16" ht="15">
      <c r="A16" s="116" t="s">
        <v>59</v>
      </c>
      <c r="B16" s="1"/>
      <c r="C16" s="117" t="s">
        <v>59</v>
      </c>
    </row>
    <row r="17" ht="15">
      <c r="A17" s="116" t="s">
        <v>60</v>
      </c>
      <c r="B17" s="1"/>
      <c r="C17" s="117" t="s">
        <v>58</v>
      </c>
    </row>
    <row r="18" ht="15">
      <c r="A18" s="116" t="s">
        <v>65</v>
      </c>
      <c r="B18" s="1"/>
      <c r="C18" s="117" t="s">
        <v>60</v>
      </c>
    </row>
    <row r="19" ht="15">
      <c r="C19" s="117" t="s">
        <v>62</v>
      </c>
    </row>
    <row r="20" ht="30">
      <c r="C20" s="117" t="s">
        <v>63</v>
      </c>
    </row>
    <row r="21" ht="30">
      <c r="C21" s="117" t="s">
        <v>64</v>
      </c>
    </row>
    <row r="22" ht="15">
      <c r="C22" s="117" t="s">
        <v>65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R7-Office/2024.1.1.375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ЦСО Калуга</cp:lastModifiedBy>
  <cp:revision>2</cp:revision>
  <dcterms:created xsi:type="dcterms:W3CDTF">2006-09-16T00:00:00Z</dcterms:created>
  <dcterms:modified xsi:type="dcterms:W3CDTF">2026-02-12T08:55:01Z</dcterms:modified>
</cp:coreProperties>
</file>